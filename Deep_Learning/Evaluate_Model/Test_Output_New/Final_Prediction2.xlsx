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Modular_Projects\Liver_Disease_Ablation_Segmentation\Deep_Learning\Evaluate_Model\Test_Output_New\"/>
    </mc:Choice>
  </mc:AlternateContent>
  <bookViews>
    <workbookView xWindow="0" yWindow="0" windowWidth="28800" windowHeight="12300"/>
  </bookViews>
  <sheets>
    <sheet name="Sheet1" sheetId="1" r:id="rId1"/>
    <sheet name="volume tables" sheetId="6" r:id="rId2"/>
    <sheet name="&lt; 1 cc" sheetId="3" r:id="rId3"/>
    <sheet name="1-2 cc" sheetId="4" r:id="rId4"/>
    <sheet name="&gt; 2 cc" sheetId="5" r:id="rId5"/>
    <sheet name="&gt; 1 cc" sheetId="2" r:id="rId6"/>
  </sheets>
  <definedNames>
    <definedName name="_xlnm._FilterDatabase" localSheetId="2" hidden="1">'&lt; 1 cc'!$A$1:$B$139</definedName>
    <definedName name="_xlnm._FilterDatabase" localSheetId="5" hidden="1">'&gt; 1 cc'!$A$1:$G$139</definedName>
    <definedName name="_xlnm._FilterDatabase" localSheetId="4" hidden="1">'&gt; 2 cc'!$A$1:$B$139</definedName>
    <definedName name="_xlnm._FilterDatabase" localSheetId="3" hidden="1">'1-2 cc'!$A$1:$B$139</definedName>
    <definedName name="_xlnm._FilterDatabase" localSheetId="0" hidden="1">Sheet1!$A$1:$K$1</definedName>
    <definedName name="_xlchart.v1.0" hidden="1">'&gt; 1 cc'!$C$1</definedName>
    <definedName name="_xlchart.v1.1" hidden="1">Sheet1!$C$2:$C$73</definedName>
    <definedName name="_xlchart.v1.2" hidden="1">'&gt; 1 cc'!$C$1</definedName>
    <definedName name="_xlchart.v1.3" hidden="1">'&gt; 1 cc'!$C$2:$C$139</definedName>
  </definedNames>
  <calcPr calcId="162913"/>
</workbook>
</file>

<file path=xl/calcChain.xml><?xml version="1.0" encoding="utf-8"?>
<calcChain xmlns="http://schemas.openxmlformats.org/spreadsheetml/2006/main">
  <c r="M13" i="6" l="1"/>
  <c r="L13" i="6"/>
  <c r="K13" i="6"/>
  <c r="M12" i="6"/>
  <c r="L12" i="6"/>
  <c r="K12" i="6"/>
  <c r="M11" i="6"/>
  <c r="L11" i="6"/>
  <c r="K11" i="6"/>
  <c r="F6" i="6"/>
  <c r="M6" i="6" s="1"/>
  <c r="E6" i="6"/>
  <c r="L6" i="6" s="1"/>
  <c r="D6" i="6"/>
  <c r="K6" i="6" s="1"/>
  <c r="F5" i="6"/>
  <c r="M5" i="6" s="1"/>
  <c r="E5" i="6"/>
  <c r="L5" i="6" s="1"/>
  <c r="D5" i="6"/>
  <c r="K5" i="6" s="1"/>
  <c r="F4" i="6"/>
  <c r="M4" i="6" s="1"/>
  <c r="E4" i="6"/>
  <c r="L4" i="6" s="1"/>
  <c r="D4" i="6"/>
  <c r="K4" i="6" s="1"/>
  <c r="J78" i="2"/>
  <c r="K78" i="2"/>
  <c r="A143" i="3"/>
  <c r="A141" i="5"/>
  <c r="A141" i="4"/>
  <c r="A142" i="3"/>
  <c r="P8" i="1" l="1"/>
  <c r="O8" i="1"/>
  <c r="N8" i="1"/>
  <c r="K84" i="2"/>
  <c r="M84" i="2"/>
  <c r="L84" i="2"/>
  <c r="M81" i="2"/>
  <c r="L81" i="2"/>
  <c r="K81" i="2"/>
  <c r="P28" i="1" l="1"/>
  <c r="N28" i="1"/>
  <c r="M78" i="2"/>
  <c r="L78" i="2"/>
</calcChain>
</file>

<file path=xl/sharedStrings.xml><?xml version="1.0" encoding="utf-8"?>
<sst xmlns="http://schemas.openxmlformats.org/spreadsheetml/2006/main" count="361" uniqueCount="68">
  <si>
    <t>patient_name</t>
  </si>
  <si>
    <t>jaccard</t>
  </si>
  <si>
    <t>volume_similarity</t>
  </si>
  <si>
    <t>false_negative</t>
  </si>
  <si>
    <t>false_positive</t>
  </si>
  <si>
    <t>Overall_Data_LiTs_100</t>
  </si>
  <si>
    <t>Overall_Data_LiTs_101</t>
  </si>
  <si>
    <t>Overall_Data_LiTs_103</t>
  </si>
  <si>
    <t>Overall_Data_LiTs_107</t>
  </si>
  <si>
    <t>Overall_Data_LiTs_10</t>
  </si>
  <si>
    <t>Overall_Data_LiTs_11</t>
  </si>
  <si>
    <t>Overall_Data_LiTs_129</t>
  </si>
  <si>
    <t>Overall_Data_LiTs_14</t>
  </si>
  <si>
    <t>Overall_Data_LiTs_19</t>
  </si>
  <si>
    <t>Overall_Data_LiTs_3</t>
  </si>
  <si>
    <t>Overall_Data_LiTs_4</t>
  </si>
  <si>
    <t>Overall_Data_LiTs_52</t>
  </si>
  <si>
    <t>Overall_Data_LiTs_53</t>
  </si>
  <si>
    <t>Overall_Data_LiTs_57</t>
  </si>
  <si>
    <t>Overall_Data_LiTs_5</t>
  </si>
  <si>
    <t>Overall_Data_LiTs_64</t>
  </si>
  <si>
    <t>Overall_Data_LiTs_66</t>
  </si>
  <si>
    <t>Overall_Data_LiTs_72</t>
  </si>
  <si>
    <t>Overall_Data_LiTs_78</t>
  </si>
  <si>
    <t>Overall_Data_LiTs_7</t>
  </si>
  <si>
    <t>Overall_Data_LiTs_80</t>
  </si>
  <si>
    <t>Overall_Data_LiTs_83</t>
  </si>
  <si>
    <t>Overall_Data_LiTs_85</t>
  </si>
  <si>
    <t>Overall_Data_LiTs_90</t>
  </si>
  <si>
    <t>Overall_Data_LiTs_99</t>
  </si>
  <si>
    <t>Overall_Data_LiTs_9</t>
  </si>
  <si>
    <t>DSC</t>
  </si>
  <si>
    <t>Volume (cc)</t>
  </si>
  <si>
    <t>median</t>
  </si>
  <si>
    <t>min</t>
  </si>
  <si>
    <t>max</t>
  </si>
  <si>
    <t>max_surface_distance</t>
  </si>
  <si>
    <t>std_surface_distance</t>
  </si>
  <si>
    <t>mean_surface_distance</t>
  </si>
  <si>
    <t>MSD</t>
  </si>
  <si>
    <t>HD</t>
  </si>
  <si>
    <t>Hausdorff Distance</t>
  </si>
  <si>
    <t>Mean Surface Distance</t>
  </si>
  <si>
    <t>Median Surface Distance</t>
  </si>
  <si>
    <t>Dice Similarity Coefficient</t>
  </si>
  <si>
    <t>mean</t>
  </si>
  <si>
    <t>Max</t>
  </si>
  <si>
    <t>Mean</t>
  </si>
  <si>
    <t>Min</t>
  </si>
  <si>
    <t>n = 72</t>
  </si>
  <si>
    <t>n = 16</t>
  </si>
  <si>
    <t>n = 50</t>
  </si>
  <si>
    <t>less than 1 cc</t>
  </si>
  <si>
    <t>1-2 cc</t>
  </si>
  <si>
    <t>greater than 2 cc</t>
  </si>
  <si>
    <t>Ours</t>
  </si>
  <si>
    <t>Theirs</t>
  </si>
  <si>
    <t>n = 30</t>
  </si>
  <si>
    <t>n = 35</t>
  </si>
  <si>
    <t>n = 40</t>
  </si>
  <si>
    <t>Method</t>
  </si>
  <si>
    <t># Sites</t>
  </si>
  <si>
    <t>Criteria</t>
  </si>
  <si>
    <t>less than 10 mm</t>
  </si>
  <si>
    <t>10-20 mm</t>
  </si>
  <si>
    <t>greater than 20 mm</t>
  </si>
  <si>
    <t>Mean (Min, Max)</t>
  </si>
  <si>
    <t>Mean Surface Distance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</si>
</sst>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E+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Dice Similarity Coefficient and Volume vs Disease Site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DSC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Sheet1!$C$2:$C$139</c:f>
              <c:numCache>
                <c:formatCode>General</c:formatCode>
                <c:ptCount val="1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2.2004378871395409E-5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1.969815855047817E-5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0.1414364640883978</c:v>
                </c:pt>
                <c:pt idx="24">
                  <c:v>0.81433224755700329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2.58313677497491E-3</c:v>
                </c:pt>
                <c:pt idx="30">
                  <c:v>0</c:v>
                </c:pt>
                <c:pt idx="31">
                  <c:v>2.67598179316185E-3</c:v>
                </c:pt>
                <c:pt idx="32">
                  <c:v>0.64478311840562719</c:v>
                </c:pt>
                <c:pt idx="33">
                  <c:v>0.54634146341463419</c:v>
                </c:pt>
                <c:pt idx="34">
                  <c:v>0</c:v>
                </c:pt>
                <c:pt idx="35">
                  <c:v>0</c:v>
                </c:pt>
                <c:pt idx="36">
                  <c:v>0.79306071871127626</c:v>
                </c:pt>
                <c:pt idx="37">
                  <c:v>0.48259587020648981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0.58663148636763418</c:v>
                </c:pt>
                <c:pt idx="43">
                  <c:v>0</c:v>
                </c:pt>
                <c:pt idx="44">
                  <c:v>4.2944759344500658E-3</c:v>
                </c:pt>
                <c:pt idx="45">
                  <c:v>0</c:v>
                </c:pt>
                <c:pt idx="46">
                  <c:v>1.1899643598038731E-3</c:v>
                </c:pt>
                <c:pt idx="47">
                  <c:v>0.60094786729857819</c:v>
                </c:pt>
                <c:pt idx="48">
                  <c:v>0</c:v>
                </c:pt>
                <c:pt idx="49">
                  <c:v>0.57268528700241916</c:v>
                </c:pt>
                <c:pt idx="50">
                  <c:v>0.2201885745978924</c:v>
                </c:pt>
                <c:pt idx="51">
                  <c:v>0.6632177961717538</c:v>
                </c:pt>
                <c:pt idx="52">
                  <c:v>1.676082641327711E-3</c:v>
                </c:pt>
                <c:pt idx="53">
                  <c:v>0</c:v>
                </c:pt>
                <c:pt idx="54">
                  <c:v>0.38146406984553388</c:v>
                </c:pt>
                <c:pt idx="55">
                  <c:v>0</c:v>
                </c:pt>
                <c:pt idx="56">
                  <c:v>0.62897327707454287</c:v>
                </c:pt>
                <c:pt idx="57">
                  <c:v>0</c:v>
                </c:pt>
                <c:pt idx="58">
                  <c:v>0.75191475191475188</c:v>
                </c:pt>
                <c:pt idx="59">
                  <c:v>0.12253829321663021</c:v>
                </c:pt>
                <c:pt idx="60">
                  <c:v>0.45488441461595819</c:v>
                </c:pt>
                <c:pt idx="61">
                  <c:v>0.63703703703703707</c:v>
                </c:pt>
                <c:pt idx="62">
                  <c:v>0.77898158179848331</c:v>
                </c:pt>
                <c:pt idx="63">
                  <c:v>0.82514880952380953</c:v>
                </c:pt>
                <c:pt idx="64">
                  <c:v>0.66018631024706365</c:v>
                </c:pt>
                <c:pt idx="65">
                  <c:v>0.66044670624823298</c:v>
                </c:pt>
                <c:pt idx="66">
                  <c:v>0</c:v>
                </c:pt>
                <c:pt idx="67">
                  <c:v>0.56952256376716803</c:v>
                </c:pt>
                <c:pt idx="68">
                  <c:v>0</c:v>
                </c:pt>
                <c:pt idx="69">
                  <c:v>0.79491017964071864</c:v>
                </c:pt>
                <c:pt idx="70">
                  <c:v>0.80587833219412175</c:v>
                </c:pt>
                <c:pt idx="71">
                  <c:v>0.76527331189710612</c:v>
                </c:pt>
                <c:pt idx="72">
                  <c:v>0.50141862264637604</c:v>
                </c:pt>
                <c:pt idx="73">
                  <c:v>0.85437401781037192</c:v>
                </c:pt>
                <c:pt idx="74">
                  <c:v>0.80284926470588225</c:v>
                </c:pt>
                <c:pt idx="75">
                  <c:v>0.78340517241379304</c:v>
                </c:pt>
                <c:pt idx="76">
                  <c:v>0.83618046430135795</c:v>
                </c:pt>
                <c:pt idx="77">
                  <c:v>0</c:v>
                </c:pt>
                <c:pt idx="78">
                  <c:v>5.9644141788256888E-2</c:v>
                </c:pt>
                <c:pt idx="79">
                  <c:v>0.4335851432168713</c:v>
                </c:pt>
                <c:pt idx="80">
                  <c:v>0.68614718614718606</c:v>
                </c:pt>
                <c:pt idx="81">
                  <c:v>0.82569351728230234</c:v>
                </c:pt>
                <c:pt idx="82">
                  <c:v>0.4578651685393258</c:v>
                </c:pt>
                <c:pt idx="83">
                  <c:v>0.7622127659574468</c:v>
                </c:pt>
                <c:pt idx="84">
                  <c:v>0.76496534341524891</c:v>
                </c:pt>
                <c:pt idx="85">
                  <c:v>0</c:v>
                </c:pt>
                <c:pt idx="86">
                  <c:v>0.7636125654450262</c:v>
                </c:pt>
                <c:pt idx="87">
                  <c:v>0</c:v>
                </c:pt>
                <c:pt idx="88">
                  <c:v>0.69629629629629619</c:v>
                </c:pt>
                <c:pt idx="89">
                  <c:v>0.75311773409427185</c:v>
                </c:pt>
                <c:pt idx="90">
                  <c:v>0.80961923847695394</c:v>
                </c:pt>
                <c:pt idx="91">
                  <c:v>0.66247002398081534</c:v>
                </c:pt>
                <c:pt idx="92">
                  <c:v>0.45059786028949023</c:v>
                </c:pt>
                <c:pt idx="93">
                  <c:v>0.86512134411947728</c:v>
                </c:pt>
                <c:pt idx="94">
                  <c:v>0.7926239049194389</c:v>
                </c:pt>
                <c:pt idx="95">
                  <c:v>0.83629740732804803</c:v>
                </c:pt>
                <c:pt idx="96">
                  <c:v>3.6171500090647181E-3</c:v>
                </c:pt>
                <c:pt idx="97">
                  <c:v>0.82284776701020357</c:v>
                </c:pt>
                <c:pt idx="98">
                  <c:v>0.80838951310861429</c:v>
                </c:pt>
                <c:pt idx="99">
                  <c:v>0.7318916405069178</c:v>
                </c:pt>
                <c:pt idx="100">
                  <c:v>0.86034273377411963</c:v>
                </c:pt>
                <c:pt idx="101">
                  <c:v>0.739162836914669</c:v>
                </c:pt>
                <c:pt idx="102">
                  <c:v>0.72796242774566466</c:v>
                </c:pt>
                <c:pt idx="103">
                  <c:v>0.1340282261783968</c:v>
                </c:pt>
                <c:pt idx="104">
                  <c:v>0.82415730337078652</c:v>
                </c:pt>
                <c:pt idx="105">
                  <c:v>0.83463555603125339</c:v>
                </c:pt>
                <c:pt idx="106">
                  <c:v>0.81481033335349984</c:v>
                </c:pt>
                <c:pt idx="107">
                  <c:v>0.60500658761528325</c:v>
                </c:pt>
                <c:pt idx="108">
                  <c:v>0.12815972561103131</c:v>
                </c:pt>
                <c:pt idx="109">
                  <c:v>0.74628092995439943</c:v>
                </c:pt>
                <c:pt idx="110">
                  <c:v>0.89073581560283688</c:v>
                </c:pt>
                <c:pt idx="111">
                  <c:v>0.85834478021978022</c:v>
                </c:pt>
                <c:pt idx="112">
                  <c:v>0.8494561239684022</c:v>
                </c:pt>
                <c:pt idx="113">
                  <c:v>0.86707869798104653</c:v>
                </c:pt>
                <c:pt idx="114">
                  <c:v>0.83874243028610795</c:v>
                </c:pt>
                <c:pt idx="115">
                  <c:v>1.760685577452813E-2</c:v>
                </c:pt>
                <c:pt idx="116">
                  <c:v>0.57110417258018731</c:v>
                </c:pt>
                <c:pt idx="117">
                  <c:v>0.87139739634283997</c:v>
                </c:pt>
                <c:pt idx="118">
                  <c:v>0.88535521928699668</c:v>
                </c:pt>
                <c:pt idx="119">
                  <c:v>0.52323840602869687</c:v>
                </c:pt>
                <c:pt idx="120">
                  <c:v>0.72497541995272263</c:v>
                </c:pt>
                <c:pt idx="121">
                  <c:v>0.74167222706975311</c:v>
                </c:pt>
                <c:pt idx="122">
                  <c:v>0.9025505597250405</c:v>
                </c:pt>
                <c:pt idx="123">
                  <c:v>0.91018012613693466</c:v>
                </c:pt>
                <c:pt idx="124">
                  <c:v>0.89956885288737909</c:v>
                </c:pt>
                <c:pt idx="125">
                  <c:v>0.46485178612003258</c:v>
                </c:pt>
                <c:pt idx="126">
                  <c:v>0.60307218885734903</c:v>
                </c:pt>
                <c:pt idx="127">
                  <c:v>0.57473346362235245</c:v>
                </c:pt>
                <c:pt idx="128">
                  <c:v>0.85329379368777802</c:v>
                </c:pt>
                <c:pt idx="129">
                  <c:v>0.90161617201724298</c:v>
                </c:pt>
                <c:pt idx="130">
                  <c:v>0.91485644400442601</c:v>
                </c:pt>
                <c:pt idx="131">
                  <c:v>0.65017280111805065</c:v>
                </c:pt>
                <c:pt idx="132">
                  <c:v>0.52502057649984801</c:v>
                </c:pt>
                <c:pt idx="133">
                  <c:v>0.69642125601501681</c:v>
                </c:pt>
                <c:pt idx="134">
                  <c:v>0.92055654967071976</c:v>
                </c:pt>
                <c:pt idx="135">
                  <c:v>0.95466424329655375</c:v>
                </c:pt>
                <c:pt idx="136">
                  <c:v>0.92732954814231705</c:v>
                </c:pt>
                <c:pt idx="137">
                  <c:v>0.89152244573166339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B-4FAD-A5B9-6B39D584C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8194144"/>
        <c:axId val="1398194976"/>
      </c:barChart>
      <c:lineChart>
        <c:grouping val="standard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Volume (cc)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Sheet1!$D$2:$D$139</c:f>
              <c:numCache>
                <c:formatCode>General</c:formatCode>
                <c:ptCount val="138"/>
                <c:pt idx="0">
                  <c:v>3.47994607721148E-4</c:v>
                </c:pt>
                <c:pt idx="1">
                  <c:v>3.47994607721148E-4</c:v>
                </c:pt>
                <c:pt idx="2">
                  <c:v>3.47994607721148E-4</c:v>
                </c:pt>
                <c:pt idx="3">
                  <c:v>4.5234000060077049E-4</c:v>
                </c:pt>
                <c:pt idx="4">
                  <c:v>4.8796882991381939E-4</c:v>
                </c:pt>
                <c:pt idx="5">
                  <c:v>5.9217834472656246E-4</c:v>
                </c:pt>
                <c:pt idx="6">
                  <c:v>5.9217834472656246E-4</c:v>
                </c:pt>
                <c:pt idx="7">
                  <c:v>5.9217834472656246E-4</c:v>
                </c:pt>
                <c:pt idx="8">
                  <c:v>6.7291259765625002E-4</c:v>
                </c:pt>
                <c:pt idx="9">
                  <c:v>1.776535034179688E-3</c:v>
                </c:pt>
                <c:pt idx="10">
                  <c:v>1.172483547217981E-2</c:v>
                </c:pt>
                <c:pt idx="11">
                  <c:v>1.538050943054259E-2</c:v>
                </c:pt>
                <c:pt idx="12">
                  <c:v>2.1560790338435259E-2</c:v>
                </c:pt>
                <c:pt idx="13">
                  <c:v>4.248741434306158E-2</c:v>
                </c:pt>
                <c:pt idx="14">
                  <c:v>4.722839788419151E-2</c:v>
                </c:pt>
                <c:pt idx="15">
                  <c:v>5.2440184653823961E-2</c:v>
                </c:pt>
                <c:pt idx="16">
                  <c:v>6.0105821345938323E-2</c:v>
                </c:pt>
                <c:pt idx="17">
                  <c:v>6.878505606437102E-2</c:v>
                </c:pt>
                <c:pt idx="18">
                  <c:v>8.9388144565754432E-2</c:v>
                </c:pt>
                <c:pt idx="19">
                  <c:v>9.0734619140625E-2</c:v>
                </c:pt>
                <c:pt idx="20">
                  <c:v>9.3992002075538039E-2</c:v>
                </c:pt>
                <c:pt idx="21">
                  <c:v>9.5552844190978869E-2</c:v>
                </c:pt>
                <c:pt idx="22">
                  <c:v>0.1118069816846682</c:v>
                </c:pt>
                <c:pt idx="23">
                  <c:v>0.13870574156755</c:v>
                </c:pt>
                <c:pt idx="24">
                  <c:v>0.15092553236904679</c:v>
                </c:pt>
                <c:pt idx="25">
                  <c:v>0.16106811264762649</c:v>
                </c:pt>
                <c:pt idx="26">
                  <c:v>0.16193155978525681</c:v>
                </c:pt>
                <c:pt idx="27">
                  <c:v>0.1646517602186805</c:v>
                </c:pt>
                <c:pt idx="28">
                  <c:v>0.1691856037359685</c:v>
                </c:pt>
                <c:pt idx="29">
                  <c:v>0.17274096578949211</c:v>
                </c:pt>
                <c:pt idx="30">
                  <c:v>0.1794392766896635</c:v>
                </c:pt>
                <c:pt idx="31">
                  <c:v>0.186404093027079</c:v>
                </c:pt>
                <c:pt idx="32">
                  <c:v>0.18891359153676601</c:v>
                </c:pt>
                <c:pt idx="33">
                  <c:v>0.18926571327028799</c:v>
                </c:pt>
                <c:pt idx="34">
                  <c:v>0.19897192382812501</c:v>
                </c:pt>
                <c:pt idx="35">
                  <c:v>0.20343508763240661</c:v>
                </c:pt>
                <c:pt idx="36">
                  <c:v>0.21003428292216089</c:v>
                </c:pt>
                <c:pt idx="37">
                  <c:v>0.2322232627868652</c:v>
                </c:pt>
                <c:pt idx="38">
                  <c:v>0.25583503444681438</c:v>
                </c:pt>
                <c:pt idx="39">
                  <c:v>0.27124678350987552</c:v>
                </c:pt>
                <c:pt idx="40">
                  <c:v>0.27343127876520162</c:v>
                </c:pt>
                <c:pt idx="41">
                  <c:v>0.32518790523058938</c:v>
                </c:pt>
                <c:pt idx="42">
                  <c:v>0.3425770020440268</c:v>
                </c:pt>
                <c:pt idx="43">
                  <c:v>0.36528709897538653</c:v>
                </c:pt>
                <c:pt idx="44">
                  <c:v>0.38549537563191738</c:v>
                </c:pt>
                <c:pt idx="45">
                  <c:v>0.3969025905826129</c:v>
                </c:pt>
                <c:pt idx="46">
                  <c:v>0.43224251107053541</c:v>
                </c:pt>
                <c:pt idx="47">
                  <c:v>0.44324707936275048</c:v>
                </c:pt>
                <c:pt idx="48">
                  <c:v>0.44880064668510478</c:v>
                </c:pt>
                <c:pt idx="49">
                  <c:v>0.45311883187441709</c:v>
                </c:pt>
                <c:pt idx="50">
                  <c:v>0.47315049743652338</c:v>
                </c:pt>
                <c:pt idx="51">
                  <c:v>0.49257202148437501</c:v>
                </c:pt>
                <c:pt idx="52">
                  <c:v>0.50342734266409939</c:v>
                </c:pt>
                <c:pt idx="53">
                  <c:v>0.52253589341277251</c:v>
                </c:pt>
                <c:pt idx="54">
                  <c:v>0.53718505859374999</c:v>
                </c:pt>
                <c:pt idx="55">
                  <c:v>0.54403474192605716</c:v>
                </c:pt>
                <c:pt idx="56">
                  <c:v>0.58119242605705446</c:v>
                </c:pt>
                <c:pt idx="57">
                  <c:v>0.58776289244101898</c:v>
                </c:pt>
                <c:pt idx="58">
                  <c:v>0.64381248543020508</c:v>
                </c:pt>
                <c:pt idx="59">
                  <c:v>0.65654051008640313</c:v>
                </c:pt>
                <c:pt idx="60">
                  <c:v>0.694610595703125</c:v>
                </c:pt>
                <c:pt idx="61">
                  <c:v>0.70133470329473679</c:v>
                </c:pt>
                <c:pt idx="62">
                  <c:v>0.74327046689104459</c:v>
                </c:pt>
                <c:pt idx="63">
                  <c:v>0.76577453613281254</c:v>
                </c:pt>
                <c:pt idx="64">
                  <c:v>0.7996314277648926</c:v>
                </c:pt>
                <c:pt idx="65">
                  <c:v>0.8074951171875</c:v>
                </c:pt>
                <c:pt idx="66">
                  <c:v>0.8337756243116059</c:v>
                </c:pt>
                <c:pt idx="67">
                  <c:v>0.84075497225429352</c:v>
                </c:pt>
                <c:pt idx="68">
                  <c:v>0.86771707370644435</c:v>
                </c:pt>
                <c:pt idx="69">
                  <c:v>0.91938029098510743</c:v>
                </c:pt>
                <c:pt idx="70">
                  <c:v>0.94947967529296873</c:v>
                </c:pt>
                <c:pt idx="71">
                  <c:v>0.96465852355957027</c:v>
                </c:pt>
                <c:pt idx="72">
                  <c:v>1.0084883731758869</c:v>
                </c:pt>
                <c:pt idx="73">
                  <c:v>1.0132171478271479</c:v>
                </c:pt>
                <c:pt idx="74">
                  <c:v>1.017305763244629</c:v>
                </c:pt>
                <c:pt idx="75">
                  <c:v>1.0486073269359619</c:v>
                </c:pt>
                <c:pt idx="76">
                  <c:v>1.1375683593749999</c:v>
                </c:pt>
                <c:pt idx="77">
                  <c:v>1.280122201700181</c:v>
                </c:pt>
                <c:pt idx="78">
                  <c:v>1.365824754928781</c:v>
                </c:pt>
                <c:pt idx="79">
                  <c:v>1.4620907249450681</c:v>
                </c:pt>
                <c:pt idx="80">
                  <c:v>1.5348049303986271</c:v>
                </c:pt>
                <c:pt idx="81">
                  <c:v>1.5590632438659671</c:v>
                </c:pt>
                <c:pt idx="82">
                  <c:v>1.569270088033677</c:v>
                </c:pt>
                <c:pt idx="83">
                  <c:v>1.5867272949218749</c:v>
                </c:pt>
                <c:pt idx="84">
                  <c:v>1.6504141091718341</c:v>
                </c:pt>
                <c:pt idx="85">
                  <c:v>1.7569393931889661</c:v>
                </c:pt>
                <c:pt idx="86">
                  <c:v>1.880267277883831</c:v>
                </c:pt>
                <c:pt idx="87">
                  <c:v>1.968387241934852</c:v>
                </c:pt>
                <c:pt idx="88">
                  <c:v>2.0074435347929058</c:v>
                </c:pt>
                <c:pt idx="89">
                  <c:v>2.0201086978212639</c:v>
                </c:pt>
                <c:pt idx="90">
                  <c:v>2.1090862454153321</c:v>
                </c:pt>
                <c:pt idx="91">
                  <c:v>2.1873331953099879</c:v>
                </c:pt>
                <c:pt idx="92">
                  <c:v>2.277315440484502</c:v>
                </c:pt>
                <c:pt idx="93">
                  <c:v>2.3044202923294419</c:v>
                </c:pt>
                <c:pt idx="94">
                  <c:v>2.322864006538663</c:v>
                </c:pt>
                <c:pt idx="95">
                  <c:v>2.3640656738281249</c:v>
                </c:pt>
                <c:pt idx="96">
                  <c:v>2.4179216262628569</c:v>
                </c:pt>
                <c:pt idx="97">
                  <c:v>2.8076204950942221</c:v>
                </c:pt>
                <c:pt idx="98">
                  <c:v>2.8429442117679629</c:v>
                </c:pt>
                <c:pt idx="99">
                  <c:v>2.9797701385886279</c:v>
                </c:pt>
                <c:pt idx="100">
                  <c:v>3.6552238464355469</c:v>
                </c:pt>
                <c:pt idx="101">
                  <c:v>3.9186172485351558</c:v>
                </c:pt>
                <c:pt idx="102">
                  <c:v>4.1176336343413578</c:v>
                </c:pt>
                <c:pt idx="103">
                  <c:v>4.3050085505983207</c:v>
                </c:pt>
                <c:pt idx="104">
                  <c:v>4.3844884643554689</c:v>
                </c:pt>
                <c:pt idx="105">
                  <c:v>4.4016100845336918</c:v>
                </c:pt>
                <c:pt idx="106">
                  <c:v>4.6222366333007816</c:v>
                </c:pt>
                <c:pt idx="107">
                  <c:v>5.9505103338146252</c:v>
                </c:pt>
                <c:pt idx="108">
                  <c:v>6.4681757737129777</c:v>
                </c:pt>
                <c:pt idx="109">
                  <c:v>6.6688258646764904</c:v>
                </c:pt>
                <c:pt idx="110">
                  <c:v>7.3344513791107824</c:v>
                </c:pt>
                <c:pt idx="111">
                  <c:v>9.0544025745484014</c:v>
                </c:pt>
                <c:pt idx="112">
                  <c:v>10.019065414428709</c:v>
                </c:pt>
                <c:pt idx="113">
                  <c:v>10.70267486572266</c:v>
                </c:pt>
                <c:pt idx="114">
                  <c:v>10.779132974162559</c:v>
                </c:pt>
                <c:pt idx="115">
                  <c:v>10.815509343337411</c:v>
                </c:pt>
                <c:pt idx="116">
                  <c:v>13.05588943734004</c:v>
                </c:pt>
                <c:pt idx="117">
                  <c:v>13.18580473327637</c:v>
                </c:pt>
                <c:pt idx="118">
                  <c:v>14.51276712040276</c:v>
                </c:pt>
                <c:pt idx="119">
                  <c:v>22.775550704872519</c:v>
                </c:pt>
                <c:pt idx="120">
                  <c:v>25.62763497824389</c:v>
                </c:pt>
                <c:pt idx="121">
                  <c:v>30.322344926288899</c:v>
                </c:pt>
                <c:pt idx="122">
                  <c:v>33.913814495464472</c:v>
                </c:pt>
                <c:pt idx="123">
                  <c:v>39.791443419874668</c:v>
                </c:pt>
                <c:pt idx="124">
                  <c:v>41.393146655308392</c:v>
                </c:pt>
                <c:pt idx="125">
                  <c:v>43.86107827680366</c:v>
                </c:pt>
                <c:pt idx="126">
                  <c:v>58.736808056726453</c:v>
                </c:pt>
                <c:pt idx="127">
                  <c:v>65.077427606108728</c:v>
                </c:pt>
                <c:pt idx="128">
                  <c:v>70.919561080531352</c:v>
                </c:pt>
                <c:pt idx="129">
                  <c:v>78.259115351978096</c:v>
                </c:pt>
                <c:pt idx="130">
                  <c:v>82.451419830322266</c:v>
                </c:pt>
                <c:pt idx="131">
                  <c:v>94.065030434672636</c:v>
                </c:pt>
                <c:pt idx="132">
                  <c:v>98.314392589555553</c:v>
                </c:pt>
                <c:pt idx="133">
                  <c:v>128.61428308383589</c:v>
                </c:pt>
                <c:pt idx="134">
                  <c:v>180.8232180910243</c:v>
                </c:pt>
                <c:pt idx="135">
                  <c:v>224.0138386165971</c:v>
                </c:pt>
                <c:pt idx="136">
                  <c:v>546.36240539280402</c:v>
                </c:pt>
                <c:pt idx="137">
                  <c:v>1013.182115935964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BB-4FAD-A5B9-6B39D584C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8188320"/>
        <c:axId val="1398182496"/>
      </c:lineChart>
      <c:catAx>
        <c:axId val="1398194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Disease Site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194976"/>
        <c:crosses val="autoZero"/>
        <c:auto val="1"/>
        <c:lblAlgn val="ctr"/>
        <c:lblOffset val="100"/>
        <c:noMultiLvlLbl val="0"/>
      </c:catAx>
      <c:valAx>
        <c:axId val="13981949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DSC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194144"/>
        <c:crosses val="autoZero"/>
        <c:crossBetween val="between"/>
      </c:valAx>
      <c:valAx>
        <c:axId val="1398182496"/>
        <c:scaling>
          <c:logBase val="10"/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(cc)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188320"/>
        <c:crosses val="max"/>
        <c:crossBetween val="between"/>
      </c:valAx>
      <c:catAx>
        <c:axId val="1398188320"/>
        <c:scaling>
          <c:orientation val="minMax"/>
        </c:scaling>
        <c:delete val="1"/>
        <c:axPos val="b"/>
        <c:majorTickMark val="none"/>
        <c:minorTickMark val="none"/>
        <c:tickLblPos val="nextTo"/>
        <c:crossAx val="1398182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Dice Similarity Coefficient and Volume vs Disease Site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DSC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Sheet1!$C$74:$C$139</c:f>
              <c:numCache>
                <c:formatCode>General</c:formatCode>
                <c:ptCount val="66"/>
                <c:pt idx="0">
                  <c:v>0.50141862264637604</c:v>
                </c:pt>
                <c:pt idx="1">
                  <c:v>0.85437401781037192</c:v>
                </c:pt>
                <c:pt idx="2">
                  <c:v>0.80284926470588225</c:v>
                </c:pt>
                <c:pt idx="3">
                  <c:v>0.78340517241379304</c:v>
                </c:pt>
                <c:pt idx="4">
                  <c:v>0.83618046430135795</c:v>
                </c:pt>
                <c:pt idx="5">
                  <c:v>0</c:v>
                </c:pt>
                <c:pt idx="6">
                  <c:v>5.9644141788256888E-2</c:v>
                </c:pt>
                <c:pt idx="7">
                  <c:v>0.4335851432168713</c:v>
                </c:pt>
                <c:pt idx="8">
                  <c:v>0.68614718614718606</c:v>
                </c:pt>
                <c:pt idx="9">
                  <c:v>0.82569351728230234</c:v>
                </c:pt>
                <c:pt idx="10">
                  <c:v>0.4578651685393258</c:v>
                </c:pt>
                <c:pt idx="11">
                  <c:v>0.7622127659574468</c:v>
                </c:pt>
                <c:pt idx="12">
                  <c:v>0.76496534341524891</c:v>
                </c:pt>
                <c:pt idx="13">
                  <c:v>0</c:v>
                </c:pt>
                <c:pt idx="14">
                  <c:v>0.7636125654450262</c:v>
                </c:pt>
                <c:pt idx="15">
                  <c:v>0</c:v>
                </c:pt>
                <c:pt idx="16">
                  <c:v>0.69629629629629619</c:v>
                </c:pt>
                <c:pt idx="17">
                  <c:v>0.75311773409427185</c:v>
                </c:pt>
                <c:pt idx="18">
                  <c:v>0.80961923847695394</c:v>
                </c:pt>
                <c:pt idx="19">
                  <c:v>0.66247002398081534</c:v>
                </c:pt>
                <c:pt idx="20">
                  <c:v>0.45059786028949023</c:v>
                </c:pt>
                <c:pt idx="21">
                  <c:v>0.86512134411947728</c:v>
                </c:pt>
                <c:pt idx="22">
                  <c:v>0.7926239049194389</c:v>
                </c:pt>
                <c:pt idx="23">
                  <c:v>0.83629740732804803</c:v>
                </c:pt>
                <c:pt idx="24">
                  <c:v>3.6171500090647181E-3</c:v>
                </c:pt>
                <c:pt idx="25">
                  <c:v>0.82284776701020357</c:v>
                </c:pt>
                <c:pt idx="26">
                  <c:v>0.80838951310861429</c:v>
                </c:pt>
                <c:pt idx="27">
                  <c:v>0.7318916405069178</c:v>
                </c:pt>
                <c:pt idx="28">
                  <c:v>0.86034273377411963</c:v>
                </c:pt>
                <c:pt idx="29">
                  <c:v>0.739162836914669</c:v>
                </c:pt>
                <c:pt idx="30">
                  <c:v>0.72796242774566466</c:v>
                </c:pt>
                <c:pt idx="31">
                  <c:v>0.1340282261783968</c:v>
                </c:pt>
                <c:pt idx="32">
                  <c:v>0.82415730337078652</c:v>
                </c:pt>
                <c:pt idx="33">
                  <c:v>0.83463555603125339</c:v>
                </c:pt>
                <c:pt idx="34">
                  <c:v>0.81481033335349984</c:v>
                </c:pt>
                <c:pt idx="35">
                  <c:v>0.60500658761528325</c:v>
                </c:pt>
                <c:pt idx="36">
                  <c:v>0.12815972561103131</c:v>
                </c:pt>
                <c:pt idx="37">
                  <c:v>0.74628092995439943</c:v>
                </c:pt>
                <c:pt idx="38">
                  <c:v>0.89073581560283688</c:v>
                </c:pt>
                <c:pt idx="39">
                  <c:v>0.85834478021978022</c:v>
                </c:pt>
                <c:pt idx="40">
                  <c:v>0.8494561239684022</c:v>
                </c:pt>
                <c:pt idx="41">
                  <c:v>0.86707869798104653</c:v>
                </c:pt>
                <c:pt idx="42">
                  <c:v>0.83874243028610795</c:v>
                </c:pt>
                <c:pt idx="43">
                  <c:v>1.760685577452813E-2</c:v>
                </c:pt>
                <c:pt idx="44">
                  <c:v>0.57110417258018731</c:v>
                </c:pt>
                <c:pt idx="45">
                  <c:v>0.87139739634283997</c:v>
                </c:pt>
                <c:pt idx="46">
                  <c:v>0.88535521928699668</c:v>
                </c:pt>
                <c:pt idx="47">
                  <c:v>0.52323840602869687</c:v>
                </c:pt>
                <c:pt idx="48">
                  <c:v>0.72497541995272263</c:v>
                </c:pt>
                <c:pt idx="49">
                  <c:v>0.74167222706975311</c:v>
                </c:pt>
                <c:pt idx="50">
                  <c:v>0.9025505597250405</c:v>
                </c:pt>
                <c:pt idx="51">
                  <c:v>0.91018012613693466</c:v>
                </c:pt>
                <c:pt idx="52">
                  <c:v>0.89956885288737909</c:v>
                </c:pt>
                <c:pt idx="53">
                  <c:v>0.46485178612003258</c:v>
                </c:pt>
                <c:pt idx="54">
                  <c:v>0.60307218885734903</c:v>
                </c:pt>
                <c:pt idx="55">
                  <c:v>0.57473346362235245</c:v>
                </c:pt>
                <c:pt idx="56">
                  <c:v>0.85329379368777802</c:v>
                </c:pt>
                <c:pt idx="57">
                  <c:v>0.90161617201724298</c:v>
                </c:pt>
                <c:pt idx="58">
                  <c:v>0.91485644400442601</c:v>
                </c:pt>
                <c:pt idx="59">
                  <c:v>0.65017280111805065</c:v>
                </c:pt>
                <c:pt idx="60">
                  <c:v>0.52502057649984801</c:v>
                </c:pt>
                <c:pt idx="61">
                  <c:v>0.69642125601501681</c:v>
                </c:pt>
                <c:pt idx="62">
                  <c:v>0.92055654967071976</c:v>
                </c:pt>
                <c:pt idx="63">
                  <c:v>0.95466424329655375</c:v>
                </c:pt>
                <c:pt idx="64">
                  <c:v>0.92732954814231705</c:v>
                </c:pt>
                <c:pt idx="65">
                  <c:v>0.89152244573166339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4-4AE3-846D-0BFE725EC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8194144"/>
        <c:axId val="1398194976"/>
      </c:barChart>
      <c:lineChart>
        <c:grouping val="standard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Volume (cc)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Sheet1!$D$74:$D$139</c:f>
              <c:numCache>
                <c:formatCode>General</c:formatCode>
                <c:ptCount val="66"/>
                <c:pt idx="0">
                  <c:v>1.0084883731758869</c:v>
                </c:pt>
                <c:pt idx="1">
                  <c:v>1.0132171478271479</c:v>
                </c:pt>
                <c:pt idx="2">
                  <c:v>1.017305763244629</c:v>
                </c:pt>
                <c:pt idx="3">
                  <c:v>1.0486073269359619</c:v>
                </c:pt>
                <c:pt idx="4">
                  <c:v>1.1375683593749999</c:v>
                </c:pt>
                <c:pt idx="5">
                  <c:v>1.280122201700181</c:v>
                </c:pt>
                <c:pt idx="6">
                  <c:v>1.365824754928781</c:v>
                </c:pt>
                <c:pt idx="7">
                  <c:v>1.4620907249450681</c:v>
                </c:pt>
                <c:pt idx="8">
                  <c:v>1.5348049303986271</c:v>
                </c:pt>
                <c:pt idx="9">
                  <c:v>1.5590632438659671</c:v>
                </c:pt>
                <c:pt idx="10">
                  <c:v>1.569270088033677</c:v>
                </c:pt>
                <c:pt idx="11">
                  <c:v>1.5867272949218749</c:v>
                </c:pt>
                <c:pt idx="12">
                  <c:v>1.6504141091718341</c:v>
                </c:pt>
                <c:pt idx="13">
                  <c:v>1.7569393931889661</c:v>
                </c:pt>
                <c:pt idx="14">
                  <c:v>1.880267277883831</c:v>
                </c:pt>
                <c:pt idx="15">
                  <c:v>1.968387241934852</c:v>
                </c:pt>
                <c:pt idx="16">
                  <c:v>2.0074435347929058</c:v>
                </c:pt>
                <c:pt idx="17">
                  <c:v>2.0201086978212639</c:v>
                </c:pt>
                <c:pt idx="18">
                  <c:v>2.1090862454153321</c:v>
                </c:pt>
                <c:pt idx="19">
                  <c:v>2.1873331953099879</c:v>
                </c:pt>
                <c:pt idx="20">
                  <c:v>2.277315440484502</c:v>
                </c:pt>
                <c:pt idx="21">
                  <c:v>2.3044202923294419</c:v>
                </c:pt>
                <c:pt idx="22">
                  <c:v>2.322864006538663</c:v>
                </c:pt>
                <c:pt idx="23">
                  <c:v>2.3640656738281249</c:v>
                </c:pt>
                <c:pt idx="24">
                  <c:v>2.4179216262628569</c:v>
                </c:pt>
                <c:pt idx="25">
                  <c:v>2.8076204950942221</c:v>
                </c:pt>
                <c:pt idx="26">
                  <c:v>2.8429442117679629</c:v>
                </c:pt>
                <c:pt idx="27">
                  <c:v>2.9797701385886279</c:v>
                </c:pt>
                <c:pt idx="28">
                  <c:v>3.6552238464355469</c:v>
                </c:pt>
                <c:pt idx="29">
                  <c:v>3.9186172485351558</c:v>
                </c:pt>
                <c:pt idx="30">
                  <c:v>4.1176336343413578</c:v>
                </c:pt>
                <c:pt idx="31">
                  <c:v>4.3050085505983207</c:v>
                </c:pt>
                <c:pt idx="32">
                  <c:v>4.3844884643554689</c:v>
                </c:pt>
                <c:pt idx="33">
                  <c:v>4.4016100845336918</c:v>
                </c:pt>
                <c:pt idx="34">
                  <c:v>4.6222366333007816</c:v>
                </c:pt>
                <c:pt idx="35">
                  <c:v>5.9505103338146252</c:v>
                </c:pt>
                <c:pt idx="36">
                  <c:v>6.4681757737129777</c:v>
                </c:pt>
                <c:pt idx="37">
                  <c:v>6.6688258646764904</c:v>
                </c:pt>
                <c:pt idx="38">
                  <c:v>7.3344513791107824</c:v>
                </c:pt>
                <c:pt idx="39">
                  <c:v>9.0544025745484014</c:v>
                </c:pt>
                <c:pt idx="40">
                  <c:v>10.019065414428709</c:v>
                </c:pt>
                <c:pt idx="41">
                  <c:v>10.70267486572266</c:v>
                </c:pt>
                <c:pt idx="42">
                  <c:v>10.779132974162559</c:v>
                </c:pt>
                <c:pt idx="43">
                  <c:v>10.815509343337411</c:v>
                </c:pt>
                <c:pt idx="44">
                  <c:v>13.05588943734004</c:v>
                </c:pt>
                <c:pt idx="45">
                  <c:v>13.18580473327637</c:v>
                </c:pt>
                <c:pt idx="46">
                  <c:v>14.51276712040276</c:v>
                </c:pt>
                <c:pt idx="47">
                  <c:v>22.775550704872519</c:v>
                </c:pt>
                <c:pt idx="48">
                  <c:v>25.62763497824389</c:v>
                </c:pt>
                <c:pt idx="49">
                  <c:v>30.322344926288899</c:v>
                </c:pt>
                <c:pt idx="50">
                  <c:v>33.913814495464472</c:v>
                </c:pt>
                <c:pt idx="51">
                  <c:v>39.791443419874668</c:v>
                </c:pt>
                <c:pt idx="52">
                  <c:v>41.393146655308392</c:v>
                </c:pt>
                <c:pt idx="53">
                  <c:v>43.86107827680366</c:v>
                </c:pt>
                <c:pt idx="54">
                  <c:v>58.736808056726453</c:v>
                </c:pt>
                <c:pt idx="55">
                  <c:v>65.077427606108728</c:v>
                </c:pt>
                <c:pt idx="56">
                  <c:v>70.919561080531352</c:v>
                </c:pt>
                <c:pt idx="57">
                  <c:v>78.259115351978096</c:v>
                </c:pt>
                <c:pt idx="58">
                  <c:v>82.451419830322266</c:v>
                </c:pt>
                <c:pt idx="59">
                  <c:v>94.065030434672636</c:v>
                </c:pt>
                <c:pt idx="60">
                  <c:v>98.314392589555553</c:v>
                </c:pt>
                <c:pt idx="61">
                  <c:v>128.61428308383589</c:v>
                </c:pt>
                <c:pt idx="62">
                  <c:v>180.8232180910243</c:v>
                </c:pt>
                <c:pt idx="63">
                  <c:v>224.0138386165971</c:v>
                </c:pt>
                <c:pt idx="64">
                  <c:v>546.36240539280402</c:v>
                </c:pt>
                <c:pt idx="65">
                  <c:v>1013.182115935964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D4-4AE3-846D-0BFE725EC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8188320"/>
        <c:axId val="1398182496"/>
      </c:lineChart>
      <c:catAx>
        <c:axId val="1398194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Disease Site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194976"/>
        <c:crosses val="autoZero"/>
        <c:auto val="1"/>
        <c:lblAlgn val="ctr"/>
        <c:lblOffset val="100"/>
        <c:noMultiLvlLbl val="0"/>
      </c:catAx>
      <c:valAx>
        <c:axId val="13981949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DSC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194144"/>
        <c:crosses val="autoZero"/>
        <c:crossBetween val="between"/>
      </c:valAx>
      <c:valAx>
        <c:axId val="1398182496"/>
        <c:scaling>
          <c:logBase val="10"/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(cc)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188320"/>
        <c:crosses val="max"/>
        <c:crossBetween val="between"/>
      </c:valAx>
      <c:catAx>
        <c:axId val="1398188320"/>
        <c:scaling>
          <c:orientation val="minMax"/>
        </c:scaling>
        <c:delete val="1"/>
        <c:axPos val="b"/>
        <c:majorTickMark val="none"/>
        <c:minorTickMark val="none"/>
        <c:tickLblPos val="nextTo"/>
        <c:crossAx val="1398182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Surface Distance (mm) and Volume (cc) vs Disease Site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Mean Surface Distance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Sheet1!$H$2:$H$139</c:f>
              <c:numCache>
                <c:formatCode>General</c:formatCode>
                <c:ptCount val="138"/>
                <c:pt idx="0">
                  <c:v>50.3192138671875</c:v>
                </c:pt>
                <c:pt idx="1">
                  <c:v>41.538360595703118</c:v>
                </c:pt>
                <c:pt idx="2">
                  <c:v>12.316543579101561</c:v>
                </c:pt>
                <c:pt idx="3">
                  <c:v>27.217691421508789</c:v>
                </c:pt>
                <c:pt idx="4">
                  <c:v>33.541828366654222</c:v>
                </c:pt>
                <c:pt idx="5">
                  <c:v>9.7859363555908203</c:v>
                </c:pt>
                <c:pt idx="6">
                  <c:v>9.25823974609375</c:v>
                </c:pt>
                <c:pt idx="7">
                  <c:v>9.3483772277832031</c:v>
                </c:pt>
                <c:pt idx="8">
                  <c:v>8.9494237899780273</c:v>
                </c:pt>
                <c:pt idx="9">
                  <c:v>9.3992214202880859</c:v>
                </c:pt>
                <c:pt idx="10">
                  <c:v>74.213218688964844</c:v>
                </c:pt>
                <c:pt idx="11">
                  <c:v>15.947224617004389</c:v>
                </c:pt>
                <c:pt idx="12">
                  <c:v>74.970130920410156</c:v>
                </c:pt>
                <c:pt idx="13">
                  <c:v>58.481803894042969</c:v>
                </c:pt>
                <c:pt idx="14">
                  <c:v>36.497234344482422</c:v>
                </c:pt>
                <c:pt idx="15">
                  <c:v>132.9217224121094</c:v>
                </c:pt>
                <c:pt idx="16">
                  <c:v>28.755867004394531</c:v>
                </c:pt>
                <c:pt idx="17">
                  <c:v>27.70351409912109</c:v>
                </c:pt>
                <c:pt idx="18">
                  <c:v>27.977434158325199</c:v>
                </c:pt>
                <c:pt idx="19">
                  <c:v>24.20285797119141</c:v>
                </c:pt>
                <c:pt idx="20">
                  <c:v>43.405338287353523</c:v>
                </c:pt>
                <c:pt idx="21">
                  <c:v>57.225383758544922</c:v>
                </c:pt>
                <c:pt idx="22">
                  <c:v>31.455657958984379</c:v>
                </c:pt>
                <c:pt idx="23">
                  <c:v>5.006850422324991</c:v>
                </c:pt>
                <c:pt idx="24">
                  <c:v>0.30058639787972352</c:v>
                </c:pt>
                <c:pt idx="25">
                  <c:v>53.543552398681641</c:v>
                </c:pt>
                <c:pt idx="26">
                  <c:v>18.781097412109379</c:v>
                </c:pt>
                <c:pt idx="27">
                  <c:v>31.543107986450199</c:v>
                </c:pt>
                <c:pt idx="28">
                  <c:v>55.654556274414063</c:v>
                </c:pt>
                <c:pt idx="29">
                  <c:v>53.603020254164541</c:v>
                </c:pt>
                <c:pt idx="30">
                  <c:v>83.410423278808594</c:v>
                </c:pt>
                <c:pt idx="31">
                  <c:v>58.723053581222437</c:v>
                </c:pt>
                <c:pt idx="32">
                  <c:v>0.67291444065750283</c:v>
                </c:pt>
                <c:pt idx="33">
                  <c:v>0.76150107488912699</c:v>
                </c:pt>
                <c:pt idx="34">
                  <c:v>16.11307334899902</c:v>
                </c:pt>
                <c:pt idx="35">
                  <c:v>25.47199630737305</c:v>
                </c:pt>
                <c:pt idx="36">
                  <c:v>0.36470146046072088</c:v>
                </c:pt>
                <c:pt idx="37">
                  <c:v>1.497214808689032</c:v>
                </c:pt>
                <c:pt idx="38">
                  <c:v>23.47196197509766</c:v>
                </c:pt>
                <c:pt idx="39">
                  <c:v>19.7978401184082</c:v>
                </c:pt>
                <c:pt idx="40">
                  <c:v>31.084918975830082</c:v>
                </c:pt>
                <c:pt idx="41">
                  <c:v>80.854194641113281</c:v>
                </c:pt>
                <c:pt idx="42">
                  <c:v>0.80210503161652014</c:v>
                </c:pt>
                <c:pt idx="43">
                  <c:v>16.837808609008789</c:v>
                </c:pt>
                <c:pt idx="44">
                  <c:v>59.199465297013333</c:v>
                </c:pt>
                <c:pt idx="45">
                  <c:v>32.180194854736328</c:v>
                </c:pt>
                <c:pt idx="46">
                  <c:v>68.646269882740995</c:v>
                </c:pt>
                <c:pt idx="47">
                  <c:v>4.0710125597526368</c:v>
                </c:pt>
                <c:pt idx="48">
                  <c:v>62.855575561523438</c:v>
                </c:pt>
                <c:pt idx="49">
                  <c:v>1.9431274523405719</c:v>
                </c:pt>
                <c:pt idx="50">
                  <c:v>10.937457659748651</c:v>
                </c:pt>
                <c:pt idx="51">
                  <c:v>0.8989482338010768</c:v>
                </c:pt>
                <c:pt idx="52">
                  <c:v>58.614617363796803</c:v>
                </c:pt>
                <c:pt idx="53">
                  <c:v>102.0190048217773</c:v>
                </c:pt>
                <c:pt idx="54">
                  <c:v>1.5239328733906761</c:v>
                </c:pt>
                <c:pt idx="55">
                  <c:v>43.076168060302727</c:v>
                </c:pt>
                <c:pt idx="56">
                  <c:v>1.4954461302210691</c:v>
                </c:pt>
                <c:pt idx="57">
                  <c:v>28.399946212768551</c:v>
                </c:pt>
                <c:pt idx="58">
                  <c:v>0.72532243684785291</c:v>
                </c:pt>
                <c:pt idx="59">
                  <c:v>3.654925634966621</c:v>
                </c:pt>
                <c:pt idx="60">
                  <c:v>3.208414699201998</c:v>
                </c:pt>
                <c:pt idx="61">
                  <c:v>0.43286871056497828</c:v>
                </c:pt>
                <c:pt idx="62">
                  <c:v>0.5481064193274664</c:v>
                </c:pt>
                <c:pt idx="63">
                  <c:v>0.50373311344913874</c:v>
                </c:pt>
                <c:pt idx="64">
                  <c:v>1.0668081982916551</c:v>
                </c:pt>
                <c:pt idx="65">
                  <c:v>1.297004425583254</c:v>
                </c:pt>
                <c:pt idx="66">
                  <c:v>31.041091918945309</c:v>
                </c:pt>
                <c:pt idx="67">
                  <c:v>1.415631691135731</c:v>
                </c:pt>
                <c:pt idx="68">
                  <c:v>38.953952789306641</c:v>
                </c:pt>
                <c:pt idx="69">
                  <c:v>0.68888313854484073</c:v>
                </c:pt>
                <c:pt idx="70">
                  <c:v>0.53359252599147866</c:v>
                </c:pt>
                <c:pt idx="71">
                  <c:v>0.7140648527888952</c:v>
                </c:pt>
                <c:pt idx="72">
                  <c:v>1.7154635143680119</c:v>
                </c:pt>
                <c:pt idx="73">
                  <c:v>0.39987170892561269</c:v>
                </c:pt>
                <c:pt idx="74">
                  <c:v>0.63372998568462546</c:v>
                </c:pt>
                <c:pt idx="75">
                  <c:v>0.98457148951642659</c:v>
                </c:pt>
                <c:pt idx="76">
                  <c:v>0.46671639472873372</c:v>
                </c:pt>
                <c:pt idx="77">
                  <c:v>16.122871398925781</c:v>
                </c:pt>
                <c:pt idx="78">
                  <c:v>21.23704187066452</c:v>
                </c:pt>
                <c:pt idx="79">
                  <c:v>7.1877119804688956</c:v>
                </c:pt>
                <c:pt idx="80">
                  <c:v>0.59270973277814465</c:v>
                </c:pt>
                <c:pt idx="81">
                  <c:v>0.56044119420067773</c:v>
                </c:pt>
                <c:pt idx="82">
                  <c:v>2.4634335661492148</c:v>
                </c:pt>
                <c:pt idx="83">
                  <c:v>0.78499081920454261</c:v>
                </c:pt>
                <c:pt idx="84">
                  <c:v>0.73235182723535697</c:v>
                </c:pt>
                <c:pt idx="85">
                  <c:v>57.246025085449219</c:v>
                </c:pt>
                <c:pt idx="86">
                  <c:v>0.99156284430461339</c:v>
                </c:pt>
                <c:pt idx="87">
                  <c:v>28.005649566650391</c:v>
                </c:pt>
                <c:pt idx="88">
                  <c:v>0.79379973814855165</c:v>
                </c:pt>
                <c:pt idx="89">
                  <c:v>0.94212308366276576</c:v>
                </c:pt>
                <c:pt idx="90">
                  <c:v>0.66402713083035769</c:v>
                </c:pt>
                <c:pt idx="91">
                  <c:v>1.2052610167940641</c:v>
                </c:pt>
                <c:pt idx="92">
                  <c:v>2.4691066088196099</c:v>
                </c:pt>
                <c:pt idx="93">
                  <c:v>0.52437708006714878</c:v>
                </c:pt>
                <c:pt idx="94">
                  <c:v>0.83498711501322975</c:v>
                </c:pt>
                <c:pt idx="95">
                  <c:v>0.6174765700556667</c:v>
                </c:pt>
                <c:pt idx="96">
                  <c:v>103.38479489681799</c:v>
                </c:pt>
                <c:pt idx="97">
                  <c:v>0.83137663526795724</c:v>
                </c:pt>
                <c:pt idx="98">
                  <c:v>1.0122910445965481</c:v>
                </c:pt>
                <c:pt idx="99">
                  <c:v>1.240878923588161</c:v>
                </c:pt>
                <c:pt idx="100">
                  <c:v>0.54896523308946443</c:v>
                </c:pt>
                <c:pt idx="101">
                  <c:v>2.285425363098764</c:v>
                </c:pt>
                <c:pt idx="102">
                  <c:v>3.075603513641989</c:v>
                </c:pt>
                <c:pt idx="103">
                  <c:v>21.679711535980111</c:v>
                </c:pt>
                <c:pt idx="104">
                  <c:v>0.90770911356077244</c:v>
                </c:pt>
                <c:pt idx="105">
                  <c:v>0.84750978716323599</c:v>
                </c:pt>
                <c:pt idx="106">
                  <c:v>0.96252949155913636</c:v>
                </c:pt>
                <c:pt idx="107">
                  <c:v>2.4070442251328679</c:v>
                </c:pt>
                <c:pt idx="108">
                  <c:v>31.629136240317958</c:v>
                </c:pt>
                <c:pt idx="109">
                  <c:v>1.6321411831528361</c:v>
                </c:pt>
                <c:pt idx="110">
                  <c:v>0.40490974092408671</c:v>
                </c:pt>
                <c:pt idx="111">
                  <c:v>0.82754036232503914</c:v>
                </c:pt>
                <c:pt idx="112">
                  <c:v>0.88204273403623634</c:v>
                </c:pt>
                <c:pt idx="113">
                  <c:v>0.83207257336559248</c:v>
                </c:pt>
                <c:pt idx="114">
                  <c:v>1.019394957663905</c:v>
                </c:pt>
                <c:pt idx="115">
                  <c:v>75.068409540843902</c:v>
                </c:pt>
                <c:pt idx="116">
                  <c:v>2.9164340857305651</c:v>
                </c:pt>
                <c:pt idx="117">
                  <c:v>0.8524256277324529</c:v>
                </c:pt>
                <c:pt idx="118">
                  <c:v>0.88043640620440744</c:v>
                </c:pt>
                <c:pt idx="119">
                  <c:v>21.510076287462109</c:v>
                </c:pt>
                <c:pt idx="120">
                  <c:v>6.2394659960834593</c:v>
                </c:pt>
                <c:pt idx="121">
                  <c:v>3.3868839454119191</c:v>
                </c:pt>
                <c:pt idx="122">
                  <c:v>0.73604734324195764</c:v>
                </c:pt>
                <c:pt idx="123">
                  <c:v>0.95649998565967187</c:v>
                </c:pt>
                <c:pt idx="124">
                  <c:v>0.93655532816589682</c:v>
                </c:pt>
                <c:pt idx="125">
                  <c:v>18.099044151144891</c:v>
                </c:pt>
                <c:pt idx="126">
                  <c:v>18.235042308755052</c:v>
                </c:pt>
                <c:pt idx="127">
                  <c:v>14.67460666746552</c:v>
                </c:pt>
                <c:pt idx="128">
                  <c:v>2.4096858036766631</c:v>
                </c:pt>
                <c:pt idx="129">
                  <c:v>1.1491207192580071</c:v>
                </c:pt>
                <c:pt idx="130">
                  <c:v>0.93908476084744652</c:v>
                </c:pt>
                <c:pt idx="131">
                  <c:v>9.7406543171786009</c:v>
                </c:pt>
                <c:pt idx="132">
                  <c:v>16.718222371836688</c:v>
                </c:pt>
                <c:pt idx="133">
                  <c:v>12.81671381070807</c:v>
                </c:pt>
                <c:pt idx="134">
                  <c:v>1.693353245227879</c:v>
                </c:pt>
                <c:pt idx="135">
                  <c:v>0.74428550526290904</c:v>
                </c:pt>
                <c:pt idx="136">
                  <c:v>1.567715186358084</c:v>
                </c:pt>
                <c:pt idx="137">
                  <c:v>2.3391347237253139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4-4FB1-9096-43EB5C34D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8194144"/>
        <c:axId val="1398194976"/>
      </c:barChart>
      <c:lineChart>
        <c:grouping val="standard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Volume (cc)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Sheet1!$D$2:$D$139</c:f>
              <c:numCache>
                <c:formatCode>General</c:formatCode>
                <c:ptCount val="138"/>
                <c:pt idx="0">
                  <c:v>3.47994607721148E-4</c:v>
                </c:pt>
                <c:pt idx="1">
                  <c:v>3.47994607721148E-4</c:v>
                </c:pt>
                <c:pt idx="2">
                  <c:v>3.47994607721148E-4</c:v>
                </c:pt>
                <c:pt idx="3">
                  <c:v>4.5234000060077049E-4</c:v>
                </c:pt>
                <c:pt idx="4">
                  <c:v>4.8796882991381939E-4</c:v>
                </c:pt>
                <c:pt idx="5">
                  <c:v>5.9217834472656246E-4</c:v>
                </c:pt>
                <c:pt idx="6">
                  <c:v>5.9217834472656246E-4</c:v>
                </c:pt>
                <c:pt idx="7">
                  <c:v>5.9217834472656246E-4</c:v>
                </c:pt>
                <c:pt idx="8">
                  <c:v>6.7291259765625002E-4</c:v>
                </c:pt>
                <c:pt idx="9">
                  <c:v>1.776535034179688E-3</c:v>
                </c:pt>
                <c:pt idx="10">
                  <c:v>1.172483547217981E-2</c:v>
                </c:pt>
                <c:pt idx="11">
                  <c:v>1.538050943054259E-2</c:v>
                </c:pt>
                <c:pt idx="12">
                  <c:v>2.1560790338435259E-2</c:v>
                </c:pt>
                <c:pt idx="13">
                  <c:v>4.248741434306158E-2</c:v>
                </c:pt>
                <c:pt idx="14">
                  <c:v>4.722839788419151E-2</c:v>
                </c:pt>
                <c:pt idx="15">
                  <c:v>5.2440184653823961E-2</c:v>
                </c:pt>
                <c:pt idx="16">
                  <c:v>6.0105821345938323E-2</c:v>
                </c:pt>
                <c:pt idx="17">
                  <c:v>6.878505606437102E-2</c:v>
                </c:pt>
                <c:pt idx="18">
                  <c:v>8.9388144565754432E-2</c:v>
                </c:pt>
                <c:pt idx="19">
                  <c:v>9.0734619140625E-2</c:v>
                </c:pt>
                <c:pt idx="20">
                  <c:v>9.3992002075538039E-2</c:v>
                </c:pt>
                <c:pt idx="21">
                  <c:v>9.5552844190978869E-2</c:v>
                </c:pt>
                <c:pt idx="22">
                  <c:v>0.1118069816846682</c:v>
                </c:pt>
                <c:pt idx="23">
                  <c:v>0.13870574156755</c:v>
                </c:pt>
                <c:pt idx="24">
                  <c:v>0.15092553236904679</c:v>
                </c:pt>
                <c:pt idx="25">
                  <c:v>0.16106811264762649</c:v>
                </c:pt>
                <c:pt idx="26">
                  <c:v>0.16193155978525681</c:v>
                </c:pt>
                <c:pt idx="27">
                  <c:v>0.1646517602186805</c:v>
                </c:pt>
                <c:pt idx="28">
                  <c:v>0.1691856037359685</c:v>
                </c:pt>
                <c:pt idx="29">
                  <c:v>0.17274096578949211</c:v>
                </c:pt>
                <c:pt idx="30">
                  <c:v>0.1794392766896635</c:v>
                </c:pt>
                <c:pt idx="31">
                  <c:v>0.186404093027079</c:v>
                </c:pt>
                <c:pt idx="32">
                  <c:v>0.18891359153676601</c:v>
                </c:pt>
                <c:pt idx="33">
                  <c:v>0.18926571327028799</c:v>
                </c:pt>
                <c:pt idx="34">
                  <c:v>0.19897192382812501</c:v>
                </c:pt>
                <c:pt idx="35">
                  <c:v>0.20343508763240661</c:v>
                </c:pt>
                <c:pt idx="36">
                  <c:v>0.21003428292216089</c:v>
                </c:pt>
                <c:pt idx="37">
                  <c:v>0.2322232627868652</c:v>
                </c:pt>
                <c:pt idx="38">
                  <c:v>0.25583503444681438</c:v>
                </c:pt>
                <c:pt idx="39">
                  <c:v>0.27124678350987552</c:v>
                </c:pt>
                <c:pt idx="40">
                  <c:v>0.27343127876520162</c:v>
                </c:pt>
                <c:pt idx="41">
                  <c:v>0.32518790523058938</c:v>
                </c:pt>
                <c:pt idx="42">
                  <c:v>0.3425770020440268</c:v>
                </c:pt>
                <c:pt idx="43">
                  <c:v>0.36528709897538653</c:v>
                </c:pt>
                <c:pt idx="44">
                  <c:v>0.38549537563191738</c:v>
                </c:pt>
                <c:pt idx="45">
                  <c:v>0.3969025905826129</c:v>
                </c:pt>
                <c:pt idx="46">
                  <c:v>0.43224251107053541</c:v>
                </c:pt>
                <c:pt idx="47">
                  <c:v>0.44324707936275048</c:v>
                </c:pt>
                <c:pt idx="48">
                  <c:v>0.44880064668510478</c:v>
                </c:pt>
                <c:pt idx="49">
                  <c:v>0.45311883187441709</c:v>
                </c:pt>
                <c:pt idx="50">
                  <c:v>0.47315049743652338</c:v>
                </c:pt>
                <c:pt idx="51">
                  <c:v>0.49257202148437501</c:v>
                </c:pt>
                <c:pt idx="52">
                  <c:v>0.50342734266409939</c:v>
                </c:pt>
                <c:pt idx="53">
                  <c:v>0.52253589341277251</c:v>
                </c:pt>
                <c:pt idx="54">
                  <c:v>0.53718505859374999</c:v>
                </c:pt>
                <c:pt idx="55">
                  <c:v>0.54403474192605716</c:v>
                </c:pt>
                <c:pt idx="56">
                  <c:v>0.58119242605705446</c:v>
                </c:pt>
                <c:pt idx="57">
                  <c:v>0.58776289244101898</c:v>
                </c:pt>
                <c:pt idx="58">
                  <c:v>0.64381248543020508</c:v>
                </c:pt>
                <c:pt idx="59">
                  <c:v>0.65654051008640313</c:v>
                </c:pt>
                <c:pt idx="60">
                  <c:v>0.694610595703125</c:v>
                </c:pt>
                <c:pt idx="61">
                  <c:v>0.70133470329473679</c:v>
                </c:pt>
                <c:pt idx="62">
                  <c:v>0.74327046689104459</c:v>
                </c:pt>
                <c:pt idx="63">
                  <c:v>0.76577453613281254</c:v>
                </c:pt>
                <c:pt idx="64">
                  <c:v>0.7996314277648926</c:v>
                </c:pt>
                <c:pt idx="65">
                  <c:v>0.8074951171875</c:v>
                </c:pt>
                <c:pt idx="66">
                  <c:v>0.8337756243116059</c:v>
                </c:pt>
                <c:pt idx="67">
                  <c:v>0.84075497225429352</c:v>
                </c:pt>
                <c:pt idx="68">
                  <c:v>0.86771707370644435</c:v>
                </c:pt>
                <c:pt idx="69">
                  <c:v>0.91938029098510743</c:v>
                </c:pt>
                <c:pt idx="70">
                  <c:v>0.94947967529296873</c:v>
                </c:pt>
                <c:pt idx="71">
                  <c:v>0.96465852355957027</c:v>
                </c:pt>
                <c:pt idx="72">
                  <c:v>1.0084883731758869</c:v>
                </c:pt>
                <c:pt idx="73">
                  <c:v>1.0132171478271479</c:v>
                </c:pt>
                <c:pt idx="74">
                  <c:v>1.017305763244629</c:v>
                </c:pt>
                <c:pt idx="75">
                  <c:v>1.0486073269359619</c:v>
                </c:pt>
                <c:pt idx="76">
                  <c:v>1.1375683593749999</c:v>
                </c:pt>
                <c:pt idx="77">
                  <c:v>1.280122201700181</c:v>
                </c:pt>
                <c:pt idx="78">
                  <c:v>1.365824754928781</c:v>
                </c:pt>
                <c:pt idx="79">
                  <c:v>1.4620907249450681</c:v>
                </c:pt>
                <c:pt idx="80">
                  <c:v>1.5348049303986271</c:v>
                </c:pt>
                <c:pt idx="81">
                  <c:v>1.5590632438659671</c:v>
                </c:pt>
                <c:pt idx="82">
                  <c:v>1.569270088033677</c:v>
                </c:pt>
                <c:pt idx="83">
                  <c:v>1.5867272949218749</c:v>
                </c:pt>
                <c:pt idx="84">
                  <c:v>1.6504141091718341</c:v>
                </c:pt>
                <c:pt idx="85">
                  <c:v>1.7569393931889661</c:v>
                </c:pt>
                <c:pt idx="86">
                  <c:v>1.880267277883831</c:v>
                </c:pt>
                <c:pt idx="87">
                  <c:v>1.968387241934852</c:v>
                </c:pt>
                <c:pt idx="88">
                  <c:v>2.0074435347929058</c:v>
                </c:pt>
                <c:pt idx="89">
                  <c:v>2.0201086978212639</c:v>
                </c:pt>
                <c:pt idx="90">
                  <c:v>2.1090862454153321</c:v>
                </c:pt>
                <c:pt idx="91">
                  <c:v>2.1873331953099879</c:v>
                </c:pt>
                <c:pt idx="92">
                  <c:v>2.277315440484502</c:v>
                </c:pt>
                <c:pt idx="93">
                  <c:v>2.3044202923294419</c:v>
                </c:pt>
                <c:pt idx="94">
                  <c:v>2.322864006538663</c:v>
                </c:pt>
                <c:pt idx="95">
                  <c:v>2.3640656738281249</c:v>
                </c:pt>
                <c:pt idx="96">
                  <c:v>2.4179216262628569</c:v>
                </c:pt>
                <c:pt idx="97">
                  <c:v>2.8076204950942221</c:v>
                </c:pt>
                <c:pt idx="98">
                  <c:v>2.8429442117679629</c:v>
                </c:pt>
                <c:pt idx="99">
                  <c:v>2.9797701385886279</c:v>
                </c:pt>
                <c:pt idx="100">
                  <c:v>3.6552238464355469</c:v>
                </c:pt>
                <c:pt idx="101">
                  <c:v>3.9186172485351558</c:v>
                </c:pt>
                <c:pt idx="102">
                  <c:v>4.1176336343413578</c:v>
                </c:pt>
                <c:pt idx="103">
                  <c:v>4.3050085505983207</c:v>
                </c:pt>
                <c:pt idx="104">
                  <c:v>4.3844884643554689</c:v>
                </c:pt>
                <c:pt idx="105">
                  <c:v>4.4016100845336918</c:v>
                </c:pt>
                <c:pt idx="106">
                  <c:v>4.6222366333007816</c:v>
                </c:pt>
                <c:pt idx="107">
                  <c:v>5.9505103338146252</c:v>
                </c:pt>
                <c:pt idx="108">
                  <c:v>6.4681757737129777</c:v>
                </c:pt>
                <c:pt idx="109">
                  <c:v>6.6688258646764904</c:v>
                </c:pt>
                <c:pt idx="110">
                  <c:v>7.3344513791107824</c:v>
                </c:pt>
                <c:pt idx="111">
                  <c:v>9.0544025745484014</c:v>
                </c:pt>
                <c:pt idx="112">
                  <c:v>10.019065414428709</c:v>
                </c:pt>
                <c:pt idx="113">
                  <c:v>10.70267486572266</c:v>
                </c:pt>
                <c:pt idx="114">
                  <c:v>10.779132974162559</c:v>
                </c:pt>
                <c:pt idx="115">
                  <c:v>10.815509343337411</c:v>
                </c:pt>
                <c:pt idx="116">
                  <c:v>13.05588943734004</c:v>
                </c:pt>
                <c:pt idx="117">
                  <c:v>13.18580473327637</c:v>
                </c:pt>
                <c:pt idx="118">
                  <c:v>14.51276712040276</c:v>
                </c:pt>
                <c:pt idx="119">
                  <c:v>22.775550704872519</c:v>
                </c:pt>
                <c:pt idx="120">
                  <c:v>25.62763497824389</c:v>
                </c:pt>
                <c:pt idx="121">
                  <c:v>30.322344926288899</c:v>
                </c:pt>
                <c:pt idx="122">
                  <c:v>33.913814495464472</c:v>
                </c:pt>
                <c:pt idx="123">
                  <c:v>39.791443419874668</c:v>
                </c:pt>
                <c:pt idx="124">
                  <c:v>41.393146655308392</c:v>
                </c:pt>
                <c:pt idx="125">
                  <c:v>43.86107827680366</c:v>
                </c:pt>
                <c:pt idx="126">
                  <c:v>58.736808056726453</c:v>
                </c:pt>
                <c:pt idx="127">
                  <c:v>65.077427606108728</c:v>
                </c:pt>
                <c:pt idx="128">
                  <c:v>70.919561080531352</c:v>
                </c:pt>
                <c:pt idx="129">
                  <c:v>78.259115351978096</c:v>
                </c:pt>
                <c:pt idx="130">
                  <c:v>82.451419830322266</c:v>
                </c:pt>
                <c:pt idx="131">
                  <c:v>94.065030434672636</c:v>
                </c:pt>
                <c:pt idx="132">
                  <c:v>98.314392589555553</c:v>
                </c:pt>
                <c:pt idx="133">
                  <c:v>128.61428308383589</c:v>
                </c:pt>
                <c:pt idx="134">
                  <c:v>180.8232180910243</c:v>
                </c:pt>
                <c:pt idx="135">
                  <c:v>224.0138386165971</c:v>
                </c:pt>
                <c:pt idx="136">
                  <c:v>546.36240539280402</c:v>
                </c:pt>
                <c:pt idx="137">
                  <c:v>1013.182115935964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4-4FB1-9096-43EB5C34D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8188320"/>
        <c:axId val="1398182496"/>
      </c:lineChart>
      <c:catAx>
        <c:axId val="1398194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Disease Site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194976"/>
        <c:crossesAt val="0.1"/>
        <c:auto val="1"/>
        <c:lblAlgn val="ctr"/>
        <c:lblOffset val="100"/>
        <c:noMultiLvlLbl val="0"/>
      </c:catAx>
      <c:valAx>
        <c:axId val="139819497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Surface Distance </a:t>
                </a:r>
                <a:r>
                  <a:rPr lang="en-US"/>
                  <a:t>(mm)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194144"/>
        <c:crosses val="autoZero"/>
        <c:crossBetween val="between"/>
      </c:valAx>
      <c:valAx>
        <c:axId val="1398182496"/>
        <c:scaling>
          <c:logBase val="10"/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(cc)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188320"/>
        <c:crosses val="max"/>
        <c:crossBetween val="between"/>
      </c:valAx>
      <c:catAx>
        <c:axId val="1398188320"/>
        <c:scaling>
          <c:orientation val="minMax"/>
        </c:scaling>
        <c:delete val="1"/>
        <c:axPos val="b"/>
        <c:majorTickMark val="none"/>
        <c:minorTickMark val="none"/>
        <c:tickLblPos val="nextTo"/>
        <c:crossAx val="1398182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Hausdorff Distance (mm) and Volume (cc) vs Disease Site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Hausdorff Distance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Sheet1!$K$2:$K$139</c:f>
              <c:numCache>
                <c:formatCode>General</c:formatCode>
                <c:ptCount val="138"/>
                <c:pt idx="0">
                  <c:v>100.2657165527344</c:v>
                </c:pt>
                <c:pt idx="1">
                  <c:v>46.395378112792969</c:v>
                </c:pt>
                <c:pt idx="2">
                  <c:v>19.161222457885739</c:v>
                </c:pt>
                <c:pt idx="3">
                  <c:v>36.238601684570313</c:v>
                </c:pt>
                <c:pt idx="4">
                  <c:v>71.397628784179688</c:v>
                </c:pt>
                <c:pt idx="5">
                  <c:v>14.76368427276611</c:v>
                </c:pt>
                <c:pt idx="6">
                  <c:v>14.128299713134769</c:v>
                </c:pt>
                <c:pt idx="7">
                  <c:v>14.403403282165529</c:v>
                </c:pt>
                <c:pt idx="8">
                  <c:v>14.524368286132811</c:v>
                </c:pt>
                <c:pt idx="9">
                  <c:v>14.246626853942869</c:v>
                </c:pt>
                <c:pt idx="10">
                  <c:v>131.5042419433594</c:v>
                </c:pt>
                <c:pt idx="11">
                  <c:v>21.68072509765625</c:v>
                </c:pt>
                <c:pt idx="12">
                  <c:v>125.2346496582031</c:v>
                </c:pt>
                <c:pt idx="13">
                  <c:v>107.5570526123047</c:v>
                </c:pt>
                <c:pt idx="14">
                  <c:v>44.297466278076172</c:v>
                </c:pt>
                <c:pt idx="15">
                  <c:v>140.09074401855469</c:v>
                </c:pt>
                <c:pt idx="16">
                  <c:v>41.164508819580078</c:v>
                </c:pt>
                <c:pt idx="17">
                  <c:v>39.885944366455078</c:v>
                </c:pt>
                <c:pt idx="18">
                  <c:v>40.49017333984375</c:v>
                </c:pt>
                <c:pt idx="19">
                  <c:v>29.23270416259766</c:v>
                </c:pt>
                <c:pt idx="20">
                  <c:v>50.976459503173828</c:v>
                </c:pt>
                <c:pt idx="21">
                  <c:v>77.3681640625</c:v>
                </c:pt>
                <c:pt idx="22">
                  <c:v>36.548469543457031</c:v>
                </c:pt>
                <c:pt idx="23">
                  <c:v>12.96229267120361</c:v>
                </c:pt>
                <c:pt idx="24">
                  <c:v>2.09765625</c:v>
                </c:pt>
                <c:pt idx="25">
                  <c:v>60.389854431152337</c:v>
                </c:pt>
                <c:pt idx="26">
                  <c:v>27.809490203857418</c:v>
                </c:pt>
                <c:pt idx="27">
                  <c:v>54.895679473876953</c:v>
                </c:pt>
                <c:pt idx="28">
                  <c:v>61.377742767333977</c:v>
                </c:pt>
                <c:pt idx="29">
                  <c:v>107.9234161376953</c:v>
                </c:pt>
                <c:pt idx="30">
                  <c:v>89.507225036621094</c:v>
                </c:pt>
                <c:pt idx="31">
                  <c:v>115.53257751464839</c:v>
                </c:pt>
                <c:pt idx="32">
                  <c:v>3.1276977062225342</c:v>
                </c:pt>
                <c:pt idx="33">
                  <c:v>1.8819490671157839</c:v>
                </c:pt>
                <c:pt idx="34">
                  <c:v>24.80706787109375</c:v>
                </c:pt>
                <c:pt idx="35">
                  <c:v>30.35658073425293</c:v>
                </c:pt>
                <c:pt idx="36">
                  <c:v>2.2107264995574951</c:v>
                </c:pt>
                <c:pt idx="37">
                  <c:v>6.4059476852416992</c:v>
                </c:pt>
                <c:pt idx="38">
                  <c:v>28.333234786987301</c:v>
                </c:pt>
                <c:pt idx="39">
                  <c:v>27.425874710083011</c:v>
                </c:pt>
                <c:pt idx="40">
                  <c:v>37.980144500732422</c:v>
                </c:pt>
                <c:pt idx="41">
                  <c:v>88.741851806640625</c:v>
                </c:pt>
                <c:pt idx="42">
                  <c:v>3.0494415760040279</c:v>
                </c:pt>
                <c:pt idx="43">
                  <c:v>21.94248008728027</c:v>
                </c:pt>
                <c:pt idx="44">
                  <c:v>110.2782821655273</c:v>
                </c:pt>
                <c:pt idx="45">
                  <c:v>37.548999786376953</c:v>
                </c:pt>
                <c:pt idx="46">
                  <c:v>120.9510040283203</c:v>
                </c:pt>
                <c:pt idx="47">
                  <c:v>23.526266098022461</c:v>
                </c:pt>
                <c:pt idx="48">
                  <c:v>77.664497375488281</c:v>
                </c:pt>
                <c:pt idx="49">
                  <c:v>9.7484760284423828</c:v>
                </c:pt>
                <c:pt idx="50">
                  <c:v>32.375492095947273</c:v>
                </c:pt>
                <c:pt idx="51">
                  <c:v>3.4802911281585689</c:v>
                </c:pt>
                <c:pt idx="52">
                  <c:v>99.917800903320313</c:v>
                </c:pt>
                <c:pt idx="53">
                  <c:v>107.8014831542969</c:v>
                </c:pt>
                <c:pt idx="54">
                  <c:v>4.4167923927307129</c:v>
                </c:pt>
                <c:pt idx="55">
                  <c:v>56.533126831054688</c:v>
                </c:pt>
                <c:pt idx="56">
                  <c:v>8.4830350875854492</c:v>
                </c:pt>
                <c:pt idx="57">
                  <c:v>46.455966949462891</c:v>
                </c:pt>
                <c:pt idx="58">
                  <c:v>4.224703311920166</c:v>
                </c:pt>
                <c:pt idx="59">
                  <c:v>7.0226426124572754</c:v>
                </c:pt>
                <c:pt idx="60">
                  <c:v>15</c:v>
                </c:pt>
                <c:pt idx="61">
                  <c:v>2.8515625</c:v>
                </c:pt>
                <c:pt idx="62">
                  <c:v>3.0036864280700679</c:v>
                </c:pt>
                <c:pt idx="63">
                  <c:v>6.1356034278869629</c:v>
                </c:pt>
                <c:pt idx="64">
                  <c:v>7.3730368614196777</c:v>
                </c:pt>
                <c:pt idx="65">
                  <c:v>5.17364501953125</c:v>
                </c:pt>
                <c:pt idx="66">
                  <c:v>37.546077728271477</c:v>
                </c:pt>
                <c:pt idx="67">
                  <c:v>4.9000015258789063</c:v>
                </c:pt>
                <c:pt idx="68">
                  <c:v>44.427539825439453</c:v>
                </c:pt>
                <c:pt idx="69">
                  <c:v>3</c:v>
                </c:pt>
                <c:pt idx="70">
                  <c:v>3.1221568584442139</c:v>
                </c:pt>
                <c:pt idx="71">
                  <c:v>3.84765625</c:v>
                </c:pt>
                <c:pt idx="72">
                  <c:v>6.1726031303405762</c:v>
                </c:pt>
                <c:pt idx="73">
                  <c:v>2.5158705711364751</c:v>
                </c:pt>
                <c:pt idx="74">
                  <c:v>4.5865201950073242</c:v>
                </c:pt>
                <c:pt idx="75">
                  <c:v>14.00434494018555</c:v>
                </c:pt>
                <c:pt idx="76">
                  <c:v>3.0743155479431148</c:v>
                </c:pt>
                <c:pt idx="77">
                  <c:v>25.083011627197269</c:v>
                </c:pt>
                <c:pt idx="78">
                  <c:v>57.883140563964837</c:v>
                </c:pt>
                <c:pt idx="79">
                  <c:v>24.880512237548832</c:v>
                </c:pt>
                <c:pt idx="80">
                  <c:v>5.7031288146972656</c:v>
                </c:pt>
                <c:pt idx="81">
                  <c:v>2.9677386283874512</c:v>
                </c:pt>
                <c:pt idx="82">
                  <c:v>4.8192343711853027</c:v>
                </c:pt>
                <c:pt idx="83">
                  <c:v>4.1534295082092294</c:v>
                </c:pt>
                <c:pt idx="84">
                  <c:v>3.4999237060546879</c:v>
                </c:pt>
                <c:pt idx="85">
                  <c:v>69.941688537597656</c:v>
                </c:pt>
                <c:pt idx="86">
                  <c:v>5.3026981353759766</c:v>
                </c:pt>
                <c:pt idx="87">
                  <c:v>72.729156494140625</c:v>
                </c:pt>
                <c:pt idx="88">
                  <c:v>5</c:v>
                </c:pt>
                <c:pt idx="89">
                  <c:v>3.7931995391845699</c:v>
                </c:pt>
                <c:pt idx="90">
                  <c:v>5.1006298065185547</c:v>
                </c:pt>
                <c:pt idx="91">
                  <c:v>9.3371610641479492</c:v>
                </c:pt>
                <c:pt idx="92">
                  <c:v>11.4430685043335</c:v>
                </c:pt>
                <c:pt idx="93">
                  <c:v>2.542195320129395</c:v>
                </c:pt>
                <c:pt idx="94">
                  <c:v>3.4500300884246831</c:v>
                </c:pt>
                <c:pt idx="95">
                  <c:v>4.0560345649719238</c:v>
                </c:pt>
                <c:pt idx="96">
                  <c:v>190.0780029296875</c:v>
                </c:pt>
                <c:pt idx="97">
                  <c:v>3.5942142009735112</c:v>
                </c:pt>
                <c:pt idx="98">
                  <c:v>7.7581648826599121</c:v>
                </c:pt>
                <c:pt idx="99">
                  <c:v>5.9422845840454102</c:v>
                </c:pt>
                <c:pt idx="100">
                  <c:v>3.174099206924438</c:v>
                </c:pt>
                <c:pt idx="101">
                  <c:v>22.7236328125</c:v>
                </c:pt>
                <c:pt idx="102">
                  <c:v>28.635774612426761</c:v>
                </c:pt>
                <c:pt idx="103">
                  <c:v>64.168434143066406</c:v>
                </c:pt>
                <c:pt idx="104">
                  <c:v>3.9754822254180908</c:v>
                </c:pt>
                <c:pt idx="105">
                  <c:v>3.2423386573791499</c:v>
                </c:pt>
                <c:pt idx="106">
                  <c:v>3.9293146133422852</c:v>
                </c:pt>
                <c:pt idx="107">
                  <c:v>20.808952331542969</c:v>
                </c:pt>
                <c:pt idx="108">
                  <c:v>85.294807434082031</c:v>
                </c:pt>
                <c:pt idx="109">
                  <c:v>7.4028277397155762</c:v>
                </c:pt>
                <c:pt idx="110">
                  <c:v>3.434855699539185</c:v>
                </c:pt>
                <c:pt idx="111">
                  <c:v>11.79181957244873</c:v>
                </c:pt>
                <c:pt idx="112">
                  <c:v>4.0492758750915527</c:v>
                </c:pt>
                <c:pt idx="113">
                  <c:v>5.0530390739440918</c:v>
                </c:pt>
                <c:pt idx="114">
                  <c:v>5.6688098907470703</c:v>
                </c:pt>
                <c:pt idx="115">
                  <c:v>129.3680419921875</c:v>
                </c:pt>
                <c:pt idx="116">
                  <c:v>26.67940521240234</c:v>
                </c:pt>
                <c:pt idx="117">
                  <c:v>4.2413859367370614</c:v>
                </c:pt>
                <c:pt idx="118">
                  <c:v>4.3455719947814941</c:v>
                </c:pt>
                <c:pt idx="119">
                  <c:v>64.090538024902344</c:v>
                </c:pt>
                <c:pt idx="120">
                  <c:v>37.657684326171882</c:v>
                </c:pt>
                <c:pt idx="121">
                  <c:v>24.30645751953125</c:v>
                </c:pt>
                <c:pt idx="122">
                  <c:v>5.4098753929138184</c:v>
                </c:pt>
                <c:pt idx="123">
                  <c:v>11.34569644927979</c:v>
                </c:pt>
                <c:pt idx="124">
                  <c:v>7.6834979057312012</c:v>
                </c:pt>
                <c:pt idx="125">
                  <c:v>80.064849853515625</c:v>
                </c:pt>
                <c:pt idx="126">
                  <c:v>75.886001586914063</c:v>
                </c:pt>
                <c:pt idx="127">
                  <c:v>65.658363342285156</c:v>
                </c:pt>
                <c:pt idx="128">
                  <c:v>33.380588531494141</c:v>
                </c:pt>
                <c:pt idx="129">
                  <c:v>11.265007019042971</c:v>
                </c:pt>
                <c:pt idx="130">
                  <c:v>8.5094890594482422</c:v>
                </c:pt>
                <c:pt idx="131">
                  <c:v>52.676624298095703</c:v>
                </c:pt>
                <c:pt idx="132">
                  <c:v>74.814598083496094</c:v>
                </c:pt>
                <c:pt idx="133">
                  <c:v>62.310111999511719</c:v>
                </c:pt>
                <c:pt idx="134">
                  <c:v>15.451723098754879</c:v>
                </c:pt>
                <c:pt idx="135">
                  <c:v>12.644131660461429</c:v>
                </c:pt>
                <c:pt idx="136">
                  <c:v>17.814054489135739</c:v>
                </c:pt>
                <c:pt idx="137">
                  <c:v>39.87457275390625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E-4936-B1E9-736290A5C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8194144"/>
        <c:axId val="1398194976"/>
      </c:barChart>
      <c:lineChart>
        <c:grouping val="standard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Volume (cc)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Sheet1!$D$2:$D$139</c:f>
              <c:numCache>
                <c:formatCode>General</c:formatCode>
                <c:ptCount val="138"/>
                <c:pt idx="0">
                  <c:v>3.47994607721148E-4</c:v>
                </c:pt>
                <c:pt idx="1">
                  <c:v>3.47994607721148E-4</c:v>
                </c:pt>
                <c:pt idx="2">
                  <c:v>3.47994607721148E-4</c:v>
                </c:pt>
                <c:pt idx="3">
                  <c:v>4.5234000060077049E-4</c:v>
                </c:pt>
                <c:pt idx="4">
                  <c:v>4.8796882991381939E-4</c:v>
                </c:pt>
                <c:pt idx="5">
                  <c:v>5.9217834472656246E-4</c:v>
                </c:pt>
                <c:pt idx="6">
                  <c:v>5.9217834472656246E-4</c:v>
                </c:pt>
                <c:pt idx="7">
                  <c:v>5.9217834472656246E-4</c:v>
                </c:pt>
                <c:pt idx="8">
                  <c:v>6.7291259765625002E-4</c:v>
                </c:pt>
                <c:pt idx="9">
                  <c:v>1.776535034179688E-3</c:v>
                </c:pt>
                <c:pt idx="10">
                  <c:v>1.172483547217981E-2</c:v>
                </c:pt>
                <c:pt idx="11">
                  <c:v>1.538050943054259E-2</c:v>
                </c:pt>
                <c:pt idx="12">
                  <c:v>2.1560790338435259E-2</c:v>
                </c:pt>
                <c:pt idx="13">
                  <c:v>4.248741434306158E-2</c:v>
                </c:pt>
                <c:pt idx="14">
                  <c:v>4.722839788419151E-2</c:v>
                </c:pt>
                <c:pt idx="15">
                  <c:v>5.2440184653823961E-2</c:v>
                </c:pt>
                <c:pt idx="16">
                  <c:v>6.0105821345938323E-2</c:v>
                </c:pt>
                <c:pt idx="17">
                  <c:v>6.878505606437102E-2</c:v>
                </c:pt>
                <c:pt idx="18">
                  <c:v>8.9388144565754432E-2</c:v>
                </c:pt>
                <c:pt idx="19">
                  <c:v>9.0734619140625E-2</c:v>
                </c:pt>
                <c:pt idx="20">
                  <c:v>9.3992002075538039E-2</c:v>
                </c:pt>
                <c:pt idx="21">
                  <c:v>9.5552844190978869E-2</c:v>
                </c:pt>
                <c:pt idx="22">
                  <c:v>0.1118069816846682</c:v>
                </c:pt>
                <c:pt idx="23">
                  <c:v>0.13870574156755</c:v>
                </c:pt>
                <c:pt idx="24">
                  <c:v>0.15092553236904679</c:v>
                </c:pt>
                <c:pt idx="25">
                  <c:v>0.16106811264762649</c:v>
                </c:pt>
                <c:pt idx="26">
                  <c:v>0.16193155978525681</c:v>
                </c:pt>
                <c:pt idx="27">
                  <c:v>0.1646517602186805</c:v>
                </c:pt>
                <c:pt idx="28">
                  <c:v>0.1691856037359685</c:v>
                </c:pt>
                <c:pt idx="29">
                  <c:v>0.17274096578949211</c:v>
                </c:pt>
                <c:pt idx="30">
                  <c:v>0.1794392766896635</c:v>
                </c:pt>
                <c:pt idx="31">
                  <c:v>0.186404093027079</c:v>
                </c:pt>
                <c:pt idx="32">
                  <c:v>0.18891359153676601</c:v>
                </c:pt>
                <c:pt idx="33">
                  <c:v>0.18926571327028799</c:v>
                </c:pt>
                <c:pt idx="34">
                  <c:v>0.19897192382812501</c:v>
                </c:pt>
                <c:pt idx="35">
                  <c:v>0.20343508763240661</c:v>
                </c:pt>
                <c:pt idx="36">
                  <c:v>0.21003428292216089</c:v>
                </c:pt>
                <c:pt idx="37">
                  <c:v>0.2322232627868652</c:v>
                </c:pt>
                <c:pt idx="38">
                  <c:v>0.25583503444681438</c:v>
                </c:pt>
                <c:pt idx="39">
                  <c:v>0.27124678350987552</c:v>
                </c:pt>
                <c:pt idx="40">
                  <c:v>0.27343127876520162</c:v>
                </c:pt>
                <c:pt idx="41">
                  <c:v>0.32518790523058938</c:v>
                </c:pt>
                <c:pt idx="42">
                  <c:v>0.3425770020440268</c:v>
                </c:pt>
                <c:pt idx="43">
                  <c:v>0.36528709897538653</c:v>
                </c:pt>
                <c:pt idx="44">
                  <c:v>0.38549537563191738</c:v>
                </c:pt>
                <c:pt idx="45">
                  <c:v>0.3969025905826129</c:v>
                </c:pt>
                <c:pt idx="46">
                  <c:v>0.43224251107053541</c:v>
                </c:pt>
                <c:pt idx="47">
                  <c:v>0.44324707936275048</c:v>
                </c:pt>
                <c:pt idx="48">
                  <c:v>0.44880064668510478</c:v>
                </c:pt>
                <c:pt idx="49">
                  <c:v>0.45311883187441709</c:v>
                </c:pt>
                <c:pt idx="50">
                  <c:v>0.47315049743652338</c:v>
                </c:pt>
                <c:pt idx="51">
                  <c:v>0.49257202148437501</c:v>
                </c:pt>
                <c:pt idx="52">
                  <c:v>0.50342734266409939</c:v>
                </c:pt>
                <c:pt idx="53">
                  <c:v>0.52253589341277251</c:v>
                </c:pt>
                <c:pt idx="54">
                  <c:v>0.53718505859374999</c:v>
                </c:pt>
                <c:pt idx="55">
                  <c:v>0.54403474192605716</c:v>
                </c:pt>
                <c:pt idx="56">
                  <c:v>0.58119242605705446</c:v>
                </c:pt>
                <c:pt idx="57">
                  <c:v>0.58776289244101898</c:v>
                </c:pt>
                <c:pt idx="58">
                  <c:v>0.64381248543020508</c:v>
                </c:pt>
                <c:pt idx="59">
                  <c:v>0.65654051008640313</c:v>
                </c:pt>
                <c:pt idx="60">
                  <c:v>0.694610595703125</c:v>
                </c:pt>
                <c:pt idx="61">
                  <c:v>0.70133470329473679</c:v>
                </c:pt>
                <c:pt idx="62">
                  <c:v>0.74327046689104459</c:v>
                </c:pt>
                <c:pt idx="63">
                  <c:v>0.76577453613281254</c:v>
                </c:pt>
                <c:pt idx="64">
                  <c:v>0.7996314277648926</c:v>
                </c:pt>
                <c:pt idx="65">
                  <c:v>0.8074951171875</c:v>
                </c:pt>
                <c:pt idx="66">
                  <c:v>0.8337756243116059</c:v>
                </c:pt>
                <c:pt idx="67">
                  <c:v>0.84075497225429352</c:v>
                </c:pt>
                <c:pt idx="68">
                  <c:v>0.86771707370644435</c:v>
                </c:pt>
                <c:pt idx="69">
                  <c:v>0.91938029098510743</c:v>
                </c:pt>
                <c:pt idx="70">
                  <c:v>0.94947967529296873</c:v>
                </c:pt>
                <c:pt idx="71">
                  <c:v>0.96465852355957027</c:v>
                </c:pt>
                <c:pt idx="72">
                  <c:v>1.0084883731758869</c:v>
                </c:pt>
                <c:pt idx="73">
                  <c:v>1.0132171478271479</c:v>
                </c:pt>
                <c:pt idx="74">
                  <c:v>1.017305763244629</c:v>
                </c:pt>
                <c:pt idx="75">
                  <c:v>1.0486073269359619</c:v>
                </c:pt>
                <c:pt idx="76">
                  <c:v>1.1375683593749999</c:v>
                </c:pt>
                <c:pt idx="77">
                  <c:v>1.280122201700181</c:v>
                </c:pt>
                <c:pt idx="78">
                  <c:v>1.365824754928781</c:v>
                </c:pt>
                <c:pt idx="79">
                  <c:v>1.4620907249450681</c:v>
                </c:pt>
                <c:pt idx="80">
                  <c:v>1.5348049303986271</c:v>
                </c:pt>
                <c:pt idx="81">
                  <c:v>1.5590632438659671</c:v>
                </c:pt>
                <c:pt idx="82">
                  <c:v>1.569270088033677</c:v>
                </c:pt>
                <c:pt idx="83">
                  <c:v>1.5867272949218749</c:v>
                </c:pt>
                <c:pt idx="84">
                  <c:v>1.6504141091718341</c:v>
                </c:pt>
                <c:pt idx="85">
                  <c:v>1.7569393931889661</c:v>
                </c:pt>
                <c:pt idx="86">
                  <c:v>1.880267277883831</c:v>
                </c:pt>
                <c:pt idx="87">
                  <c:v>1.968387241934852</c:v>
                </c:pt>
                <c:pt idx="88">
                  <c:v>2.0074435347929058</c:v>
                </c:pt>
                <c:pt idx="89">
                  <c:v>2.0201086978212639</c:v>
                </c:pt>
                <c:pt idx="90">
                  <c:v>2.1090862454153321</c:v>
                </c:pt>
                <c:pt idx="91">
                  <c:v>2.1873331953099879</c:v>
                </c:pt>
                <c:pt idx="92">
                  <c:v>2.277315440484502</c:v>
                </c:pt>
                <c:pt idx="93">
                  <c:v>2.3044202923294419</c:v>
                </c:pt>
                <c:pt idx="94">
                  <c:v>2.322864006538663</c:v>
                </c:pt>
                <c:pt idx="95">
                  <c:v>2.3640656738281249</c:v>
                </c:pt>
                <c:pt idx="96">
                  <c:v>2.4179216262628569</c:v>
                </c:pt>
                <c:pt idx="97">
                  <c:v>2.8076204950942221</c:v>
                </c:pt>
                <c:pt idx="98">
                  <c:v>2.8429442117679629</c:v>
                </c:pt>
                <c:pt idx="99">
                  <c:v>2.9797701385886279</c:v>
                </c:pt>
                <c:pt idx="100">
                  <c:v>3.6552238464355469</c:v>
                </c:pt>
                <c:pt idx="101">
                  <c:v>3.9186172485351558</c:v>
                </c:pt>
                <c:pt idx="102">
                  <c:v>4.1176336343413578</c:v>
                </c:pt>
                <c:pt idx="103">
                  <c:v>4.3050085505983207</c:v>
                </c:pt>
                <c:pt idx="104">
                  <c:v>4.3844884643554689</c:v>
                </c:pt>
                <c:pt idx="105">
                  <c:v>4.4016100845336918</c:v>
                </c:pt>
                <c:pt idx="106">
                  <c:v>4.6222366333007816</c:v>
                </c:pt>
                <c:pt idx="107">
                  <c:v>5.9505103338146252</c:v>
                </c:pt>
                <c:pt idx="108">
                  <c:v>6.4681757737129777</c:v>
                </c:pt>
                <c:pt idx="109">
                  <c:v>6.6688258646764904</c:v>
                </c:pt>
                <c:pt idx="110">
                  <c:v>7.3344513791107824</c:v>
                </c:pt>
                <c:pt idx="111">
                  <c:v>9.0544025745484014</c:v>
                </c:pt>
                <c:pt idx="112">
                  <c:v>10.019065414428709</c:v>
                </c:pt>
                <c:pt idx="113">
                  <c:v>10.70267486572266</c:v>
                </c:pt>
                <c:pt idx="114">
                  <c:v>10.779132974162559</c:v>
                </c:pt>
                <c:pt idx="115">
                  <c:v>10.815509343337411</c:v>
                </c:pt>
                <c:pt idx="116">
                  <c:v>13.05588943734004</c:v>
                </c:pt>
                <c:pt idx="117">
                  <c:v>13.18580473327637</c:v>
                </c:pt>
                <c:pt idx="118">
                  <c:v>14.51276712040276</c:v>
                </c:pt>
                <c:pt idx="119">
                  <c:v>22.775550704872519</c:v>
                </c:pt>
                <c:pt idx="120">
                  <c:v>25.62763497824389</c:v>
                </c:pt>
                <c:pt idx="121">
                  <c:v>30.322344926288899</c:v>
                </c:pt>
                <c:pt idx="122">
                  <c:v>33.913814495464472</c:v>
                </c:pt>
                <c:pt idx="123">
                  <c:v>39.791443419874668</c:v>
                </c:pt>
                <c:pt idx="124">
                  <c:v>41.393146655308392</c:v>
                </c:pt>
                <c:pt idx="125">
                  <c:v>43.86107827680366</c:v>
                </c:pt>
                <c:pt idx="126">
                  <c:v>58.736808056726453</c:v>
                </c:pt>
                <c:pt idx="127">
                  <c:v>65.077427606108728</c:v>
                </c:pt>
                <c:pt idx="128">
                  <c:v>70.919561080531352</c:v>
                </c:pt>
                <c:pt idx="129">
                  <c:v>78.259115351978096</c:v>
                </c:pt>
                <c:pt idx="130">
                  <c:v>82.451419830322266</c:v>
                </c:pt>
                <c:pt idx="131">
                  <c:v>94.065030434672636</c:v>
                </c:pt>
                <c:pt idx="132">
                  <c:v>98.314392589555553</c:v>
                </c:pt>
                <c:pt idx="133">
                  <c:v>128.61428308383589</c:v>
                </c:pt>
                <c:pt idx="134">
                  <c:v>180.8232180910243</c:v>
                </c:pt>
                <c:pt idx="135">
                  <c:v>224.0138386165971</c:v>
                </c:pt>
                <c:pt idx="136">
                  <c:v>546.36240539280402</c:v>
                </c:pt>
                <c:pt idx="137">
                  <c:v>1013.182115935964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3E-4936-B1E9-736290A5C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8188320"/>
        <c:axId val="1398182496"/>
      </c:lineChart>
      <c:catAx>
        <c:axId val="1398194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Disease Site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194976"/>
        <c:crossesAt val="0.1"/>
        <c:auto val="1"/>
        <c:lblAlgn val="ctr"/>
        <c:lblOffset val="100"/>
        <c:noMultiLvlLbl val="0"/>
      </c:catAx>
      <c:valAx>
        <c:axId val="139819497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Hausdorff Distance (mm)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194144"/>
        <c:crosses val="autoZero"/>
        <c:crossBetween val="between"/>
      </c:valAx>
      <c:valAx>
        <c:axId val="1398182496"/>
        <c:scaling>
          <c:logBase val="10"/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(cc)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188320"/>
        <c:crosses val="max"/>
        <c:crossBetween val="between"/>
      </c:valAx>
      <c:catAx>
        <c:axId val="1398188320"/>
        <c:scaling>
          <c:orientation val="minMax"/>
        </c:scaling>
        <c:delete val="1"/>
        <c:axPos val="b"/>
        <c:majorTickMark val="none"/>
        <c:minorTickMark val="none"/>
        <c:tickLblPos val="nextTo"/>
        <c:crossAx val="1398182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Surface Distance (mm) and Volume (cc) vs Disease Site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Median Surface Distance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Sheet1!$I$2:$I$139</c:f>
              <c:numCache>
                <c:formatCode>General</c:formatCode>
                <c:ptCount val="138"/>
                <c:pt idx="0">
                  <c:v>50.356689453125</c:v>
                </c:pt>
                <c:pt idx="1">
                  <c:v>41.455955505371087</c:v>
                </c:pt>
                <c:pt idx="2">
                  <c:v>13.03790378570557</c:v>
                </c:pt>
                <c:pt idx="3">
                  <c:v>27.468511581420898</c:v>
                </c:pt>
                <c:pt idx="4">
                  <c:v>30.356466293334961</c:v>
                </c:pt>
                <c:pt idx="5">
                  <c:v>10.170882225036619</c:v>
                </c:pt>
                <c:pt idx="6">
                  <c:v>9.6427793502807617</c:v>
                </c:pt>
                <c:pt idx="7">
                  <c:v>9.8580684661865234</c:v>
                </c:pt>
                <c:pt idx="8">
                  <c:v>9.1680288314819336</c:v>
                </c:pt>
                <c:pt idx="9">
                  <c:v>10.05904388427734</c:v>
                </c:pt>
                <c:pt idx="10">
                  <c:v>72.710655212402344</c:v>
                </c:pt>
                <c:pt idx="11">
                  <c:v>16.367143630981449</c:v>
                </c:pt>
                <c:pt idx="12">
                  <c:v>78.3475341796875</c:v>
                </c:pt>
                <c:pt idx="13">
                  <c:v>57.823970794677727</c:v>
                </c:pt>
                <c:pt idx="14">
                  <c:v>36.18084716796875</c:v>
                </c:pt>
                <c:pt idx="15">
                  <c:v>132.4508361816406</c:v>
                </c:pt>
                <c:pt idx="16">
                  <c:v>28.544609069824219</c:v>
                </c:pt>
                <c:pt idx="17">
                  <c:v>27.435981750488281</c:v>
                </c:pt>
                <c:pt idx="18">
                  <c:v>27.590576171875</c:v>
                </c:pt>
                <c:pt idx="19">
                  <c:v>23.990116119384769</c:v>
                </c:pt>
                <c:pt idx="20">
                  <c:v>43.247684478759773</c:v>
                </c:pt>
                <c:pt idx="21">
                  <c:v>57.025993347167969</c:v>
                </c:pt>
                <c:pt idx="22">
                  <c:v>30.30339431762695</c:v>
                </c:pt>
                <c:pt idx="23">
                  <c:v>5</c:v>
                </c:pt>
                <c:pt idx="24">
                  <c:v>0</c:v>
                </c:pt>
                <c:pt idx="25">
                  <c:v>53.385044097900391</c:v>
                </c:pt>
                <c:pt idx="26">
                  <c:v>18.04170989990234</c:v>
                </c:pt>
                <c:pt idx="27">
                  <c:v>30.763055801391602</c:v>
                </c:pt>
                <c:pt idx="28">
                  <c:v>55.610530853271477</c:v>
                </c:pt>
                <c:pt idx="29">
                  <c:v>50.392095565795898</c:v>
                </c:pt>
                <c:pt idx="30">
                  <c:v>83.301971435546875</c:v>
                </c:pt>
                <c:pt idx="31">
                  <c:v>56.394519805908203</c:v>
                </c:pt>
                <c:pt idx="32">
                  <c:v>0.69921875</c:v>
                </c:pt>
                <c:pt idx="33">
                  <c:v>0.69998931884765625</c:v>
                </c:pt>
                <c:pt idx="34">
                  <c:v>15.63908100128174</c:v>
                </c:pt>
                <c:pt idx="35">
                  <c:v>25.15206336975098</c:v>
                </c:pt>
                <c:pt idx="36">
                  <c:v>0</c:v>
                </c:pt>
                <c:pt idx="37">
                  <c:v>1.248829126358032</c:v>
                </c:pt>
                <c:pt idx="38">
                  <c:v>23.678144454956051</c:v>
                </c:pt>
                <c:pt idx="39">
                  <c:v>19.69161224365234</c:v>
                </c:pt>
                <c:pt idx="40">
                  <c:v>31.136295318603519</c:v>
                </c:pt>
                <c:pt idx="41">
                  <c:v>80.256927490234375</c:v>
                </c:pt>
                <c:pt idx="42">
                  <c:v>0.6999969482421875</c:v>
                </c:pt>
                <c:pt idx="43">
                  <c:v>16.7905158996582</c:v>
                </c:pt>
                <c:pt idx="44">
                  <c:v>59.791725158691413</c:v>
                </c:pt>
                <c:pt idx="45">
                  <c:v>32.065238952636719</c:v>
                </c:pt>
                <c:pt idx="46">
                  <c:v>71.781108856201172</c:v>
                </c:pt>
                <c:pt idx="47">
                  <c:v>0.677734375</c:v>
                </c:pt>
                <c:pt idx="48">
                  <c:v>62.943305969238281</c:v>
                </c:pt>
                <c:pt idx="49">
                  <c:v>1.2115318775177</c:v>
                </c:pt>
                <c:pt idx="50">
                  <c:v>9.8363614082336426</c:v>
                </c:pt>
                <c:pt idx="51">
                  <c:v>0.8203125</c:v>
                </c:pt>
                <c:pt idx="52">
                  <c:v>61.843547821044922</c:v>
                </c:pt>
                <c:pt idx="53">
                  <c:v>102.11546325683589</c:v>
                </c:pt>
                <c:pt idx="54">
                  <c:v>1.3794317245483401</c:v>
                </c:pt>
                <c:pt idx="55">
                  <c:v>41.450885772705078</c:v>
                </c:pt>
                <c:pt idx="56">
                  <c:v>0.79999923706054688</c:v>
                </c:pt>
                <c:pt idx="57">
                  <c:v>29.154949188232418</c:v>
                </c:pt>
                <c:pt idx="58">
                  <c:v>0.7819976806640625</c:v>
                </c:pt>
                <c:pt idx="59">
                  <c:v>4.0521972179412842</c:v>
                </c:pt>
                <c:pt idx="60">
                  <c:v>1.5722353458404541</c:v>
                </c:pt>
                <c:pt idx="61">
                  <c:v>0</c:v>
                </c:pt>
                <c:pt idx="62">
                  <c:v>0.64453125</c:v>
                </c:pt>
                <c:pt idx="63">
                  <c:v>0</c:v>
                </c:pt>
                <c:pt idx="64">
                  <c:v>0.748046875</c:v>
                </c:pt>
                <c:pt idx="65">
                  <c:v>0.8203125</c:v>
                </c:pt>
                <c:pt idx="66">
                  <c:v>30.959247589111332</c:v>
                </c:pt>
                <c:pt idx="67">
                  <c:v>1.2183046340942381</c:v>
                </c:pt>
                <c:pt idx="68">
                  <c:v>39.1148681640625</c:v>
                </c:pt>
                <c:pt idx="69">
                  <c:v>0.748046875</c:v>
                </c:pt>
                <c:pt idx="70">
                  <c:v>0</c:v>
                </c:pt>
                <c:pt idx="71">
                  <c:v>0.76953125</c:v>
                </c:pt>
                <c:pt idx="72">
                  <c:v>1.5675196647644041</c:v>
                </c:pt>
                <c:pt idx="73">
                  <c:v>0</c:v>
                </c:pt>
                <c:pt idx="74">
                  <c:v>0.748046875</c:v>
                </c:pt>
                <c:pt idx="75">
                  <c:v>0.69921875</c:v>
                </c:pt>
                <c:pt idx="76">
                  <c:v>0.671875</c:v>
                </c:pt>
                <c:pt idx="77">
                  <c:v>16.139263153076168</c:v>
                </c:pt>
                <c:pt idx="78">
                  <c:v>18.26737022399902</c:v>
                </c:pt>
                <c:pt idx="79">
                  <c:v>3.7013165950775151</c:v>
                </c:pt>
                <c:pt idx="80">
                  <c:v>0</c:v>
                </c:pt>
                <c:pt idx="81">
                  <c:v>0.693359375</c:v>
                </c:pt>
                <c:pt idx="82">
                  <c:v>2.5500030517578121</c:v>
                </c:pt>
                <c:pt idx="83">
                  <c:v>0.671875</c:v>
                </c:pt>
                <c:pt idx="84">
                  <c:v>0.69998931884765625</c:v>
                </c:pt>
                <c:pt idx="85">
                  <c:v>56.761856079101563</c:v>
                </c:pt>
                <c:pt idx="86">
                  <c:v>0.78125</c:v>
                </c:pt>
                <c:pt idx="87">
                  <c:v>24.261930465698239</c:v>
                </c:pt>
                <c:pt idx="88">
                  <c:v>0</c:v>
                </c:pt>
                <c:pt idx="89">
                  <c:v>0.705078125</c:v>
                </c:pt>
                <c:pt idx="90">
                  <c:v>0</c:v>
                </c:pt>
                <c:pt idx="91">
                  <c:v>0.8000030517578125</c:v>
                </c:pt>
                <c:pt idx="92">
                  <c:v>1.7486016750335689</c:v>
                </c:pt>
                <c:pt idx="93">
                  <c:v>0.6999969482421875</c:v>
                </c:pt>
                <c:pt idx="94">
                  <c:v>0.705078125</c:v>
                </c:pt>
                <c:pt idx="95">
                  <c:v>0.671875</c:v>
                </c:pt>
                <c:pt idx="96">
                  <c:v>105.08022308349609</c:v>
                </c:pt>
                <c:pt idx="97">
                  <c:v>0.705078125</c:v>
                </c:pt>
                <c:pt idx="98">
                  <c:v>0.6999969482421875</c:v>
                </c:pt>
                <c:pt idx="99">
                  <c:v>0.91150486469268799</c:v>
                </c:pt>
                <c:pt idx="100">
                  <c:v>0</c:v>
                </c:pt>
                <c:pt idx="101">
                  <c:v>0.99436891078948975</c:v>
                </c:pt>
                <c:pt idx="102">
                  <c:v>0</c:v>
                </c:pt>
                <c:pt idx="103">
                  <c:v>21.715080261230469</c:v>
                </c:pt>
                <c:pt idx="104">
                  <c:v>0.76953125</c:v>
                </c:pt>
                <c:pt idx="105">
                  <c:v>0.748046875</c:v>
                </c:pt>
                <c:pt idx="106">
                  <c:v>0.8203125</c:v>
                </c:pt>
                <c:pt idx="107">
                  <c:v>0.84999847412109375</c:v>
                </c:pt>
                <c:pt idx="108">
                  <c:v>29.471986770629879</c:v>
                </c:pt>
                <c:pt idx="109">
                  <c:v>1.5061385631561279</c:v>
                </c:pt>
                <c:pt idx="110">
                  <c:v>0</c:v>
                </c:pt>
                <c:pt idx="111">
                  <c:v>0</c:v>
                </c:pt>
                <c:pt idx="112">
                  <c:v>0.76953125</c:v>
                </c:pt>
                <c:pt idx="113">
                  <c:v>0.8203125</c:v>
                </c:pt>
                <c:pt idx="114">
                  <c:v>0.705078125</c:v>
                </c:pt>
                <c:pt idx="115">
                  <c:v>83.829113006591797</c:v>
                </c:pt>
                <c:pt idx="116">
                  <c:v>1.097913503646851</c:v>
                </c:pt>
                <c:pt idx="117">
                  <c:v>0.748046875</c:v>
                </c:pt>
                <c:pt idx="118">
                  <c:v>0.705078125</c:v>
                </c:pt>
                <c:pt idx="119">
                  <c:v>18.71713829040527</c:v>
                </c:pt>
                <c:pt idx="120">
                  <c:v>2.209002017974854</c:v>
                </c:pt>
                <c:pt idx="121">
                  <c:v>1.671875</c:v>
                </c:pt>
                <c:pt idx="122">
                  <c:v>0.70000076293945313</c:v>
                </c:pt>
                <c:pt idx="123">
                  <c:v>0.705078125</c:v>
                </c:pt>
                <c:pt idx="124">
                  <c:v>0.85546875</c:v>
                </c:pt>
                <c:pt idx="125">
                  <c:v>2.4697380065917969</c:v>
                </c:pt>
                <c:pt idx="126">
                  <c:v>2.6419498920440669</c:v>
                </c:pt>
                <c:pt idx="127">
                  <c:v>1.567524909973145</c:v>
                </c:pt>
                <c:pt idx="128">
                  <c:v>0.705078125</c:v>
                </c:pt>
                <c:pt idx="129">
                  <c:v>0.70000076293945313</c:v>
                </c:pt>
                <c:pt idx="130">
                  <c:v>0.68359375</c:v>
                </c:pt>
                <c:pt idx="131">
                  <c:v>1.574340224266052</c:v>
                </c:pt>
                <c:pt idx="132">
                  <c:v>2.5365724563598628</c:v>
                </c:pt>
                <c:pt idx="133">
                  <c:v>1.5675196647644041</c:v>
                </c:pt>
                <c:pt idx="134">
                  <c:v>0.99355536699295044</c:v>
                </c:pt>
                <c:pt idx="135">
                  <c:v>0</c:v>
                </c:pt>
                <c:pt idx="136">
                  <c:v>0.98884463310241699</c:v>
                </c:pt>
                <c:pt idx="137">
                  <c:v>1.5061430931091311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6-49B3-8915-D81E6B64E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8194144"/>
        <c:axId val="1398194976"/>
      </c:barChart>
      <c:lineChart>
        <c:grouping val="standard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Volume (cc)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Sheet1!$D$2:$D$139</c:f>
              <c:numCache>
                <c:formatCode>General</c:formatCode>
                <c:ptCount val="138"/>
                <c:pt idx="0">
                  <c:v>3.47994607721148E-4</c:v>
                </c:pt>
                <c:pt idx="1">
                  <c:v>3.47994607721148E-4</c:v>
                </c:pt>
                <c:pt idx="2">
                  <c:v>3.47994607721148E-4</c:v>
                </c:pt>
                <c:pt idx="3">
                  <c:v>4.5234000060077049E-4</c:v>
                </c:pt>
                <c:pt idx="4">
                  <c:v>4.8796882991381939E-4</c:v>
                </c:pt>
                <c:pt idx="5">
                  <c:v>5.9217834472656246E-4</c:v>
                </c:pt>
                <c:pt idx="6">
                  <c:v>5.9217834472656246E-4</c:v>
                </c:pt>
                <c:pt idx="7">
                  <c:v>5.9217834472656246E-4</c:v>
                </c:pt>
                <c:pt idx="8">
                  <c:v>6.7291259765625002E-4</c:v>
                </c:pt>
                <c:pt idx="9">
                  <c:v>1.776535034179688E-3</c:v>
                </c:pt>
                <c:pt idx="10">
                  <c:v>1.172483547217981E-2</c:v>
                </c:pt>
                <c:pt idx="11">
                  <c:v>1.538050943054259E-2</c:v>
                </c:pt>
                <c:pt idx="12">
                  <c:v>2.1560790338435259E-2</c:v>
                </c:pt>
                <c:pt idx="13">
                  <c:v>4.248741434306158E-2</c:v>
                </c:pt>
                <c:pt idx="14">
                  <c:v>4.722839788419151E-2</c:v>
                </c:pt>
                <c:pt idx="15">
                  <c:v>5.2440184653823961E-2</c:v>
                </c:pt>
                <c:pt idx="16">
                  <c:v>6.0105821345938323E-2</c:v>
                </c:pt>
                <c:pt idx="17">
                  <c:v>6.878505606437102E-2</c:v>
                </c:pt>
                <c:pt idx="18">
                  <c:v>8.9388144565754432E-2</c:v>
                </c:pt>
                <c:pt idx="19">
                  <c:v>9.0734619140625E-2</c:v>
                </c:pt>
                <c:pt idx="20">
                  <c:v>9.3992002075538039E-2</c:v>
                </c:pt>
                <c:pt idx="21">
                  <c:v>9.5552844190978869E-2</c:v>
                </c:pt>
                <c:pt idx="22">
                  <c:v>0.1118069816846682</c:v>
                </c:pt>
                <c:pt idx="23">
                  <c:v>0.13870574156755</c:v>
                </c:pt>
                <c:pt idx="24">
                  <c:v>0.15092553236904679</c:v>
                </c:pt>
                <c:pt idx="25">
                  <c:v>0.16106811264762649</c:v>
                </c:pt>
                <c:pt idx="26">
                  <c:v>0.16193155978525681</c:v>
                </c:pt>
                <c:pt idx="27">
                  <c:v>0.1646517602186805</c:v>
                </c:pt>
                <c:pt idx="28">
                  <c:v>0.1691856037359685</c:v>
                </c:pt>
                <c:pt idx="29">
                  <c:v>0.17274096578949211</c:v>
                </c:pt>
                <c:pt idx="30">
                  <c:v>0.1794392766896635</c:v>
                </c:pt>
                <c:pt idx="31">
                  <c:v>0.186404093027079</c:v>
                </c:pt>
                <c:pt idx="32">
                  <c:v>0.18891359153676601</c:v>
                </c:pt>
                <c:pt idx="33">
                  <c:v>0.18926571327028799</c:v>
                </c:pt>
                <c:pt idx="34">
                  <c:v>0.19897192382812501</c:v>
                </c:pt>
                <c:pt idx="35">
                  <c:v>0.20343508763240661</c:v>
                </c:pt>
                <c:pt idx="36">
                  <c:v>0.21003428292216089</c:v>
                </c:pt>
                <c:pt idx="37">
                  <c:v>0.2322232627868652</c:v>
                </c:pt>
                <c:pt idx="38">
                  <c:v>0.25583503444681438</c:v>
                </c:pt>
                <c:pt idx="39">
                  <c:v>0.27124678350987552</c:v>
                </c:pt>
                <c:pt idx="40">
                  <c:v>0.27343127876520162</c:v>
                </c:pt>
                <c:pt idx="41">
                  <c:v>0.32518790523058938</c:v>
                </c:pt>
                <c:pt idx="42">
                  <c:v>0.3425770020440268</c:v>
                </c:pt>
                <c:pt idx="43">
                  <c:v>0.36528709897538653</c:v>
                </c:pt>
                <c:pt idx="44">
                  <c:v>0.38549537563191738</c:v>
                </c:pt>
                <c:pt idx="45">
                  <c:v>0.3969025905826129</c:v>
                </c:pt>
                <c:pt idx="46">
                  <c:v>0.43224251107053541</c:v>
                </c:pt>
                <c:pt idx="47">
                  <c:v>0.44324707936275048</c:v>
                </c:pt>
                <c:pt idx="48">
                  <c:v>0.44880064668510478</c:v>
                </c:pt>
                <c:pt idx="49">
                  <c:v>0.45311883187441709</c:v>
                </c:pt>
                <c:pt idx="50">
                  <c:v>0.47315049743652338</c:v>
                </c:pt>
                <c:pt idx="51">
                  <c:v>0.49257202148437501</c:v>
                </c:pt>
                <c:pt idx="52">
                  <c:v>0.50342734266409939</c:v>
                </c:pt>
                <c:pt idx="53">
                  <c:v>0.52253589341277251</c:v>
                </c:pt>
                <c:pt idx="54">
                  <c:v>0.53718505859374999</c:v>
                </c:pt>
                <c:pt idx="55">
                  <c:v>0.54403474192605716</c:v>
                </c:pt>
                <c:pt idx="56">
                  <c:v>0.58119242605705446</c:v>
                </c:pt>
                <c:pt idx="57">
                  <c:v>0.58776289244101898</c:v>
                </c:pt>
                <c:pt idx="58">
                  <c:v>0.64381248543020508</c:v>
                </c:pt>
                <c:pt idx="59">
                  <c:v>0.65654051008640313</c:v>
                </c:pt>
                <c:pt idx="60">
                  <c:v>0.694610595703125</c:v>
                </c:pt>
                <c:pt idx="61">
                  <c:v>0.70133470329473679</c:v>
                </c:pt>
                <c:pt idx="62">
                  <c:v>0.74327046689104459</c:v>
                </c:pt>
                <c:pt idx="63">
                  <c:v>0.76577453613281254</c:v>
                </c:pt>
                <c:pt idx="64">
                  <c:v>0.7996314277648926</c:v>
                </c:pt>
                <c:pt idx="65">
                  <c:v>0.8074951171875</c:v>
                </c:pt>
                <c:pt idx="66">
                  <c:v>0.8337756243116059</c:v>
                </c:pt>
                <c:pt idx="67">
                  <c:v>0.84075497225429352</c:v>
                </c:pt>
                <c:pt idx="68">
                  <c:v>0.86771707370644435</c:v>
                </c:pt>
                <c:pt idx="69">
                  <c:v>0.91938029098510743</c:v>
                </c:pt>
                <c:pt idx="70">
                  <c:v>0.94947967529296873</c:v>
                </c:pt>
                <c:pt idx="71">
                  <c:v>0.96465852355957027</c:v>
                </c:pt>
                <c:pt idx="72">
                  <c:v>1.0084883731758869</c:v>
                </c:pt>
                <c:pt idx="73">
                  <c:v>1.0132171478271479</c:v>
                </c:pt>
                <c:pt idx="74">
                  <c:v>1.017305763244629</c:v>
                </c:pt>
                <c:pt idx="75">
                  <c:v>1.0486073269359619</c:v>
                </c:pt>
                <c:pt idx="76">
                  <c:v>1.1375683593749999</c:v>
                </c:pt>
                <c:pt idx="77">
                  <c:v>1.280122201700181</c:v>
                </c:pt>
                <c:pt idx="78">
                  <c:v>1.365824754928781</c:v>
                </c:pt>
                <c:pt idx="79">
                  <c:v>1.4620907249450681</c:v>
                </c:pt>
                <c:pt idx="80">
                  <c:v>1.5348049303986271</c:v>
                </c:pt>
                <c:pt idx="81">
                  <c:v>1.5590632438659671</c:v>
                </c:pt>
                <c:pt idx="82">
                  <c:v>1.569270088033677</c:v>
                </c:pt>
                <c:pt idx="83">
                  <c:v>1.5867272949218749</c:v>
                </c:pt>
                <c:pt idx="84">
                  <c:v>1.6504141091718341</c:v>
                </c:pt>
                <c:pt idx="85">
                  <c:v>1.7569393931889661</c:v>
                </c:pt>
                <c:pt idx="86">
                  <c:v>1.880267277883831</c:v>
                </c:pt>
                <c:pt idx="87">
                  <c:v>1.968387241934852</c:v>
                </c:pt>
                <c:pt idx="88">
                  <c:v>2.0074435347929058</c:v>
                </c:pt>
                <c:pt idx="89">
                  <c:v>2.0201086978212639</c:v>
                </c:pt>
                <c:pt idx="90">
                  <c:v>2.1090862454153321</c:v>
                </c:pt>
                <c:pt idx="91">
                  <c:v>2.1873331953099879</c:v>
                </c:pt>
                <c:pt idx="92">
                  <c:v>2.277315440484502</c:v>
                </c:pt>
                <c:pt idx="93">
                  <c:v>2.3044202923294419</c:v>
                </c:pt>
                <c:pt idx="94">
                  <c:v>2.322864006538663</c:v>
                </c:pt>
                <c:pt idx="95">
                  <c:v>2.3640656738281249</c:v>
                </c:pt>
                <c:pt idx="96">
                  <c:v>2.4179216262628569</c:v>
                </c:pt>
                <c:pt idx="97">
                  <c:v>2.8076204950942221</c:v>
                </c:pt>
                <c:pt idx="98">
                  <c:v>2.8429442117679629</c:v>
                </c:pt>
                <c:pt idx="99">
                  <c:v>2.9797701385886279</c:v>
                </c:pt>
                <c:pt idx="100">
                  <c:v>3.6552238464355469</c:v>
                </c:pt>
                <c:pt idx="101">
                  <c:v>3.9186172485351558</c:v>
                </c:pt>
                <c:pt idx="102">
                  <c:v>4.1176336343413578</c:v>
                </c:pt>
                <c:pt idx="103">
                  <c:v>4.3050085505983207</c:v>
                </c:pt>
                <c:pt idx="104">
                  <c:v>4.3844884643554689</c:v>
                </c:pt>
                <c:pt idx="105">
                  <c:v>4.4016100845336918</c:v>
                </c:pt>
                <c:pt idx="106">
                  <c:v>4.6222366333007816</c:v>
                </c:pt>
                <c:pt idx="107">
                  <c:v>5.9505103338146252</c:v>
                </c:pt>
                <c:pt idx="108">
                  <c:v>6.4681757737129777</c:v>
                </c:pt>
                <c:pt idx="109">
                  <c:v>6.6688258646764904</c:v>
                </c:pt>
                <c:pt idx="110">
                  <c:v>7.3344513791107824</c:v>
                </c:pt>
                <c:pt idx="111">
                  <c:v>9.0544025745484014</c:v>
                </c:pt>
                <c:pt idx="112">
                  <c:v>10.019065414428709</c:v>
                </c:pt>
                <c:pt idx="113">
                  <c:v>10.70267486572266</c:v>
                </c:pt>
                <c:pt idx="114">
                  <c:v>10.779132974162559</c:v>
                </c:pt>
                <c:pt idx="115">
                  <c:v>10.815509343337411</c:v>
                </c:pt>
                <c:pt idx="116">
                  <c:v>13.05588943734004</c:v>
                </c:pt>
                <c:pt idx="117">
                  <c:v>13.18580473327637</c:v>
                </c:pt>
                <c:pt idx="118">
                  <c:v>14.51276712040276</c:v>
                </c:pt>
                <c:pt idx="119">
                  <c:v>22.775550704872519</c:v>
                </c:pt>
                <c:pt idx="120">
                  <c:v>25.62763497824389</c:v>
                </c:pt>
                <c:pt idx="121">
                  <c:v>30.322344926288899</c:v>
                </c:pt>
                <c:pt idx="122">
                  <c:v>33.913814495464472</c:v>
                </c:pt>
                <c:pt idx="123">
                  <c:v>39.791443419874668</c:v>
                </c:pt>
                <c:pt idx="124">
                  <c:v>41.393146655308392</c:v>
                </c:pt>
                <c:pt idx="125">
                  <c:v>43.86107827680366</c:v>
                </c:pt>
                <c:pt idx="126">
                  <c:v>58.736808056726453</c:v>
                </c:pt>
                <c:pt idx="127">
                  <c:v>65.077427606108728</c:v>
                </c:pt>
                <c:pt idx="128">
                  <c:v>70.919561080531352</c:v>
                </c:pt>
                <c:pt idx="129">
                  <c:v>78.259115351978096</c:v>
                </c:pt>
                <c:pt idx="130">
                  <c:v>82.451419830322266</c:v>
                </c:pt>
                <c:pt idx="131">
                  <c:v>94.065030434672636</c:v>
                </c:pt>
                <c:pt idx="132">
                  <c:v>98.314392589555553</c:v>
                </c:pt>
                <c:pt idx="133">
                  <c:v>128.61428308383589</c:v>
                </c:pt>
                <c:pt idx="134">
                  <c:v>180.8232180910243</c:v>
                </c:pt>
                <c:pt idx="135">
                  <c:v>224.0138386165971</c:v>
                </c:pt>
                <c:pt idx="136">
                  <c:v>546.36240539280402</c:v>
                </c:pt>
                <c:pt idx="137">
                  <c:v>1013.182115935964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16-49B3-8915-D81E6B64E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8188320"/>
        <c:axId val="1398182496"/>
      </c:lineChart>
      <c:catAx>
        <c:axId val="1398194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Disease Site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194976"/>
        <c:crossesAt val="0.1"/>
        <c:auto val="1"/>
        <c:lblAlgn val="ctr"/>
        <c:lblOffset val="100"/>
        <c:noMultiLvlLbl val="0"/>
      </c:catAx>
      <c:valAx>
        <c:axId val="139819497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</a:t>
                </a:r>
                <a:r>
                  <a:rPr lang="en-US" baseline="0"/>
                  <a:t> Surface Distance </a:t>
                </a:r>
                <a:r>
                  <a:rPr lang="en-US"/>
                  <a:t>(mm)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194144"/>
        <c:crosses val="autoZero"/>
        <c:crossBetween val="between"/>
      </c:valAx>
      <c:valAx>
        <c:axId val="1398182496"/>
        <c:scaling>
          <c:logBase val="10"/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(cc)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188320"/>
        <c:crosses val="max"/>
        <c:crossBetween val="between"/>
      </c:valAx>
      <c:catAx>
        <c:axId val="1398188320"/>
        <c:scaling>
          <c:orientation val="minMax"/>
        </c:scaling>
        <c:delete val="1"/>
        <c:axPos val="b"/>
        <c:majorTickMark val="none"/>
        <c:minorTickMark val="none"/>
        <c:tickLblPos val="nextTo"/>
        <c:crossAx val="1398182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en-US"/>
              <a:t>Dice Similarity Coefficient &gt; 1 cc</a:t>
            </a:r>
          </a:p>
        </cx:rich>
      </cx:tx>
    </cx:title>
    <cx:plotArea>
      <cx:plotAreaRegion>
        <cx:series layoutId="boxWhisker" uniqueId="{EFBC5DCC-D918-4692-ACD1-6E6EA3725693}">
          <cx:tx>
            <cx:txData>
              <cx:f>_xlchart.v1.2</cx:f>
              <cx:v>DSC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"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en-US"/>
              <a:t>Dice Similarity Coefficient &lt; 1 cc</a:t>
            </a:r>
          </a:p>
        </cx:rich>
      </cx:tx>
    </cx:title>
    <cx:plotArea>
      <cx:plotAreaRegion>
        <cx:series layoutId="boxWhisker" uniqueId="{EFBC5DCC-D918-4692-ACD1-6E6EA3725693}">
          <cx:tx>
            <cx:txData>
              <cx:f>_xlchart.v1.0</cx:f>
              <cx:v>DSC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276866</xdr:colOff>
      <xdr:row>13</xdr:row>
      <xdr:rowOff>69236</xdr:rowOff>
    </xdr:from>
    <xdr:to>
      <xdr:col>15</xdr:col>
      <xdr:colOff>602797</xdr:colOff>
      <xdr:row>33</xdr:row>
      <xdr:rowOff>145436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95250</xdr:colOff>
      <xdr:row>31</xdr:row>
      <xdr:rowOff>142875</xdr:rowOff>
    </xdr:from>
    <xdr:to>
      <xdr:col>32</xdr:col>
      <xdr:colOff>400050</xdr:colOff>
      <xdr:row>52</xdr:row>
      <xdr:rowOff>28575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414699</xdr:colOff>
      <xdr:row>1</xdr:row>
      <xdr:rowOff>93409</xdr:rowOff>
    </xdr:from>
    <xdr:to>
      <xdr:col>25</xdr:col>
      <xdr:colOff>127988</xdr:colOff>
      <xdr:row>21</xdr:row>
      <xdr:rowOff>169609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81082</xdr:colOff>
      <xdr:row>29</xdr:row>
      <xdr:rowOff>37060</xdr:rowOff>
    </xdr:from>
    <xdr:to>
      <xdr:col>10</xdr:col>
      <xdr:colOff>1142439</xdr:colOff>
      <xdr:row>49</xdr:row>
      <xdr:rowOff>113260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437029</xdr:colOff>
      <xdr:row>23</xdr:row>
      <xdr:rowOff>156882</xdr:rowOff>
    </xdr:from>
    <xdr:to>
      <xdr:col>26</xdr:col>
      <xdr:colOff>150318</xdr:colOff>
      <xdr:row>44</xdr:row>
      <xdr:rowOff>42582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328612</xdr:colOff>
      <xdr:row>0</xdr:row>
      <xdr:rowOff>123824</xdr:rowOff>
    </xdr:from>
    <xdr:to>
      <xdr:col>29</xdr:col>
      <xdr:colOff>228600</xdr:colOff>
      <xdr:row>94</xdr:row>
      <xdr:rowOff>114299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152400</xdr:colOff>
      <xdr:row>94</xdr:row>
      <xdr:rowOff>104775</xdr:rowOff>
    </xdr:from>
    <xdr:to>
      <xdr:col>30</xdr:col>
      <xdr:colOff>52388</xdr:colOff>
      <xdr:row>116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9"/>
  <sheetViews>
    <sheetView tabSelected="1" topLeftCell="J4" zoomScale="85" zoomScaleNormal="85" workbookViewId="0">
      <selection activeCell="I10" sqref="I10"/>
    </sheetView>
  </sheetViews>
  <sheetFormatPr defaultRowHeight="15" x14ac:dyDescent="0.25"/>
  <cols>
    <col min="8" max="8" width="26.85546875" bestFit="1" customWidth="1"/>
    <col min="9" max="9" width="28.5703125" bestFit="1" customWidth="1"/>
    <col min="10" max="10" width="24.42578125" bestFit="1" customWidth="1"/>
    <col min="11" max="11" width="25.42578125" bestFit="1" customWidth="1"/>
    <col min="12" max="12" width="12.7109375" bestFit="1" customWidth="1"/>
  </cols>
  <sheetData>
    <row r="1" spans="1:16" x14ac:dyDescent="0.25">
      <c r="A1" s="1" t="s">
        <v>0</v>
      </c>
      <c r="B1" s="1" t="s">
        <v>1</v>
      </c>
      <c r="C1" s="1" t="s">
        <v>31</v>
      </c>
      <c r="D1" s="1" t="s">
        <v>32</v>
      </c>
      <c r="E1" s="1" t="s">
        <v>2</v>
      </c>
      <c r="F1" s="1" t="s">
        <v>3</v>
      </c>
      <c r="G1" s="1" t="s">
        <v>4</v>
      </c>
      <c r="H1" s="1" t="s">
        <v>42</v>
      </c>
      <c r="I1" s="1" t="s">
        <v>43</v>
      </c>
      <c r="J1" s="1" t="s">
        <v>37</v>
      </c>
      <c r="K1" s="1" t="s">
        <v>41</v>
      </c>
    </row>
    <row r="2" spans="1:16" x14ac:dyDescent="0.25">
      <c r="A2" t="s">
        <v>6</v>
      </c>
      <c r="B2">
        <v>0</v>
      </c>
      <c r="C2">
        <v>0</v>
      </c>
      <c r="D2">
        <v>3.47994607721148E-4</v>
      </c>
      <c r="E2">
        <v>-1.9999850916490871</v>
      </c>
      <c r="F2">
        <v>1</v>
      </c>
      <c r="G2">
        <v>1</v>
      </c>
      <c r="H2">
        <v>50.3192138671875</v>
      </c>
      <c r="I2">
        <v>50.356689453125</v>
      </c>
      <c r="J2">
        <v>22.563177108764648</v>
      </c>
      <c r="K2">
        <v>100.2657165527344</v>
      </c>
      <c r="L2" s="2"/>
    </row>
    <row r="3" spans="1:16" x14ac:dyDescent="0.25">
      <c r="A3" t="s">
        <v>6</v>
      </c>
      <c r="B3">
        <v>0</v>
      </c>
      <c r="C3">
        <v>0</v>
      </c>
      <c r="D3">
        <v>3.47994607721148E-4</v>
      </c>
      <c r="E3">
        <v>-1.994277539341917</v>
      </c>
      <c r="F3">
        <v>1</v>
      </c>
      <c r="G3">
        <v>1</v>
      </c>
      <c r="H3">
        <v>41.538360595703118</v>
      </c>
      <c r="I3">
        <v>41.455955505371087</v>
      </c>
      <c r="J3">
        <v>2.455124139785767</v>
      </c>
      <c r="K3">
        <v>46.395378112792969</v>
      </c>
      <c r="L3" s="2"/>
    </row>
    <row r="4" spans="1:16" x14ac:dyDescent="0.25">
      <c r="A4" t="s">
        <v>6</v>
      </c>
      <c r="B4">
        <v>0</v>
      </c>
      <c r="C4">
        <v>0</v>
      </c>
      <c r="D4">
        <v>3.47994607721148E-4</v>
      </c>
      <c r="E4">
        <v>-1.9995854492693541</v>
      </c>
      <c r="F4">
        <v>1</v>
      </c>
      <c r="G4">
        <v>1</v>
      </c>
      <c r="H4">
        <v>12.316543579101561</v>
      </c>
      <c r="I4">
        <v>13.03790378570557</v>
      </c>
      <c r="J4">
        <v>4.0620050430297852</v>
      </c>
      <c r="K4">
        <v>19.161222457885739</v>
      </c>
      <c r="L4" s="2"/>
    </row>
    <row r="5" spans="1:16" x14ac:dyDescent="0.25">
      <c r="A5" t="s">
        <v>13</v>
      </c>
      <c r="B5">
        <v>0</v>
      </c>
      <c r="C5">
        <v>0</v>
      </c>
      <c r="D5">
        <v>4.5234000060077049E-4</v>
      </c>
      <c r="E5">
        <v>-1.998519615099926</v>
      </c>
      <c r="F5">
        <v>1</v>
      </c>
      <c r="G5">
        <v>1</v>
      </c>
      <c r="H5">
        <v>27.217691421508789</v>
      </c>
      <c r="I5">
        <v>27.468511581420898</v>
      </c>
      <c r="J5">
        <v>4.7006564140319824</v>
      </c>
      <c r="K5">
        <v>36.238601684570313</v>
      </c>
      <c r="L5" s="2"/>
    </row>
    <row r="6" spans="1:16" x14ac:dyDescent="0.25">
      <c r="A6" t="s">
        <v>28</v>
      </c>
      <c r="B6">
        <v>1.1002310485201891E-5</v>
      </c>
      <c r="C6">
        <v>2.2004378871395409E-5</v>
      </c>
      <c r="D6">
        <v>4.8796882991381939E-4</v>
      </c>
      <c r="E6">
        <v>-1.9999559912422571</v>
      </c>
      <c r="F6">
        <v>0.99998899768951477</v>
      </c>
      <c r="G6">
        <v>0</v>
      </c>
      <c r="H6">
        <v>33.541828366654222</v>
      </c>
      <c r="I6">
        <v>30.356466293334961</v>
      </c>
      <c r="J6">
        <v>17.60173655232882</v>
      </c>
      <c r="K6">
        <v>71.397628784179688</v>
      </c>
      <c r="L6" s="2"/>
    </row>
    <row r="7" spans="1:16" x14ac:dyDescent="0.25">
      <c r="A7" t="s">
        <v>9</v>
      </c>
      <c r="B7">
        <v>0</v>
      </c>
      <c r="C7">
        <v>0</v>
      </c>
      <c r="D7">
        <v>5.9217834472656246E-4</v>
      </c>
      <c r="E7">
        <v>-1.9981024667931691</v>
      </c>
      <c r="F7">
        <v>1</v>
      </c>
      <c r="G7">
        <v>1</v>
      </c>
      <c r="H7">
        <v>9.7859363555908203</v>
      </c>
      <c r="I7">
        <v>10.170882225036619</v>
      </c>
      <c r="J7">
        <v>3.260673046112061</v>
      </c>
      <c r="K7">
        <v>14.76368427276611</v>
      </c>
      <c r="L7" s="2"/>
    </row>
    <row r="8" spans="1:16" x14ac:dyDescent="0.25">
      <c r="A8" t="s">
        <v>9</v>
      </c>
      <c r="B8">
        <v>0</v>
      </c>
      <c r="C8">
        <v>0</v>
      </c>
      <c r="D8">
        <v>5.9217834472656246E-4</v>
      </c>
      <c r="E8">
        <v>-1.9981024667931691</v>
      </c>
      <c r="F8">
        <v>1</v>
      </c>
      <c r="G8">
        <v>1</v>
      </c>
      <c r="H8">
        <v>9.25823974609375</v>
      </c>
      <c r="I8">
        <v>9.6427793502807617</v>
      </c>
      <c r="J8">
        <v>3.182307243347168</v>
      </c>
      <c r="K8">
        <v>14.128299713134769</v>
      </c>
      <c r="L8" s="2"/>
      <c r="N8">
        <f>MEDIAN(H2:H73)</f>
        <v>21.63490104675293</v>
      </c>
      <c r="O8">
        <f>MIN(H2:H73)</f>
        <v>0.30058639787972352</v>
      </c>
      <c r="P8">
        <f>MAX(H2:H73)</f>
        <v>132.9217224121094</v>
      </c>
    </row>
    <row r="9" spans="1:16" x14ac:dyDescent="0.25">
      <c r="A9" t="s">
        <v>9</v>
      </c>
      <c r="B9">
        <v>0</v>
      </c>
      <c r="C9">
        <v>0</v>
      </c>
      <c r="D9">
        <v>5.9217834472656246E-4</v>
      </c>
      <c r="E9">
        <v>-1.9981024667931691</v>
      </c>
      <c r="F9">
        <v>1</v>
      </c>
      <c r="G9">
        <v>1</v>
      </c>
      <c r="H9">
        <v>9.3483772277832031</v>
      </c>
      <c r="I9">
        <v>9.8580684661865234</v>
      </c>
      <c r="J9">
        <v>3.3342826366424561</v>
      </c>
      <c r="K9">
        <v>14.403403282165529</v>
      </c>
      <c r="L9" s="2"/>
    </row>
    <row r="10" spans="1:16" x14ac:dyDescent="0.25">
      <c r="A10" t="s">
        <v>30</v>
      </c>
      <c r="B10">
        <v>0</v>
      </c>
      <c r="C10">
        <v>0</v>
      </c>
      <c r="D10">
        <v>6.7291259765625002E-4</v>
      </c>
      <c r="E10">
        <v>-1.997421018697614</v>
      </c>
      <c r="F10">
        <v>1</v>
      </c>
      <c r="G10">
        <v>1</v>
      </c>
      <c r="H10">
        <v>8.9494237899780273</v>
      </c>
      <c r="I10">
        <v>9.1680288314819336</v>
      </c>
      <c r="J10">
        <v>3.0982944965362549</v>
      </c>
      <c r="K10">
        <v>14.524368286132811</v>
      </c>
      <c r="L10" s="2"/>
    </row>
    <row r="11" spans="1:16" x14ac:dyDescent="0.25">
      <c r="A11" t="s">
        <v>9</v>
      </c>
      <c r="B11">
        <v>0</v>
      </c>
      <c r="C11">
        <v>0</v>
      </c>
      <c r="D11">
        <v>1.776535034179688E-3</v>
      </c>
      <c r="E11">
        <v>-1.994312796208531</v>
      </c>
      <c r="F11">
        <v>1</v>
      </c>
      <c r="G11">
        <v>1</v>
      </c>
      <c r="H11">
        <v>9.3992214202880859</v>
      </c>
      <c r="I11">
        <v>10.05904388427734</v>
      </c>
      <c r="J11">
        <v>3.4777863025665279</v>
      </c>
      <c r="K11">
        <v>14.246626853942869</v>
      </c>
      <c r="L11" s="2"/>
    </row>
    <row r="12" spans="1:16" x14ac:dyDescent="0.25">
      <c r="A12" t="s">
        <v>15</v>
      </c>
      <c r="B12">
        <v>9.8491762805570699E-6</v>
      </c>
      <c r="C12">
        <v>1.969815855047817E-5</v>
      </c>
      <c r="D12">
        <v>1.172483547217981E-2</v>
      </c>
      <c r="E12">
        <v>-1.999960603682899</v>
      </c>
      <c r="F12">
        <v>0.99999015082371945</v>
      </c>
      <c r="G12">
        <v>0</v>
      </c>
      <c r="H12">
        <v>74.213218688964844</v>
      </c>
      <c r="I12">
        <v>72.710655212402344</v>
      </c>
      <c r="J12">
        <v>27.849016189575199</v>
      </c>
      <c r="K12">
        <v>131.5042419433594</v>
      </c>
      <c r="L12" s="2"/>
    </row>
    <row r="13" spans="1:16" x14ac:dyDescent="0.25">
      <c r="A13" t="s">
        <v>29</v>
      </c>
      <c r="B13">
        <v>0</v>
      </c>
      <c r="C13">
        <v>0</v>
      </c>
      <c r="D13">
        <v>1.538050943054259E-2</v>
      </c>
      <c r="E13">
        <v>-1.9428798095993649</v>
      </c>
      <c r="F13">
        <v>1</v>
      </c>
      <c r="G13">
        <v>1</v>
      </c>
      <c r="H13">
        <v>15.947224617004389</v>
      </c>
      <c r="I13">
        <v>16.367143630981449</v>
      </c>
      <c r="J13">
        <v>2.711283922195435</v>
      </c>
      <c r="K13">
        <v>21.68072509765625</v>
      </c>
      <c r="L13" s="2"/>
    </row>
    <row r="14" spans="1:16" x14ac:dyDescent="0.25">
      <c r="A14" t="s">
        <v>5</v>
      </c>
      <c r="B14">
        <v>0</v>
      </c>
      <c r="C14">
        <v>0</v>
      </c>
      <c r="D14">
        <v>2.1560790338435259E-2</v>
      </c>
      <c r="E14">
        <v>-1.9998518842440101</v>
      </c>
      <c r="F14">
        <v>1</v>
      </c>
      <c r="G14">
        <v>1</v>
      </c>
      <c r="H14">
        <v>74.970130920410156</v>
      </c>
      <c r="I14">
        <v>78.3475341796875</v>
      </c>
      <c r="J14">
        <v>24.12087440490723</v>
      </c>
      <c r="K14">
        <v>125.2346496582031</v>
      </c>
      <c r="L14" s="2"/>
    </row>
    <row r="15" spans="1:16" x14ac:dyDescent="0.25">
      <c r="A15" t="s">
        <v>22</v>
      </c>
      <c r="B15">
        <v>0</v>
      </c>
      <c r="C15">
        <v>0</v>
      </c>
      <c r="D15">
        <v>4.248741434306158E-2</v>
      </c>
      <c r="E15">
        <v>-1.9962675274891559</v>
      </c>
      <c r="F15">
        <v>1</v>
      </c>
      <c r="G15">
        <v>1</v>
      </c>
      <c r="H15">
        <v>58.481803894042969</v>
      </c>
      <c r="I15">
        <v>57.823970794677727</v>
      </c>
      <c r="J15">
        <v>16.210382461547852</v>
      </c>
      <c r="K15">
        <v>107.5570526123047</v>
      </c>
      <c r="L15" s="2"/>
    </row>
    <row r="16" spans="1:16" x14ac:dyDescent="0.25">
      <c r="A16" t="s">
        <v>5</v>
      </c>
      <c r="B16">
        <v>0</v>
      </c>
      <c r="C16">
        <v>0</v>
      </c>
      <c r="D16">
        <v>4.722839788419151E-2</v>
      </c>
      <c r="E16">
        <v>-1.8772787905735879</v>
      </c>
      <c r="F16">
        <v>1</v>
      </c>
      <c r="G16">
        <v>1</v>
      </c>
      <c r="H16">
        <v>36.497234344482422</v>
      </c>
      <c r="I16">
        <v>36.18084716796875</v>
      </c>
      <c r="J16">
        <v>3.776739358901978</v>
      </c>
      <c r="K16">
        <v>44.297466278076172</v>
      </c>
      <c r="L16" s="2"/>
    </row>
    <row r="17" spans="1:16" x14ac:dyDescent="0.25">
      <c r="A17" t="s">
        <v>26</v>
      </c>
      <c r="B17">
        <v>0</v>
      </c>
      <c r="C17">
        <v>0</v>
      </c>
      <c r="D17">
        <v>5.2440184653823961E-2</v>
      </c>
      <c r="E17">
        <v>-1.751937984496124</v>
      </c>
      <c r="F17">
        <v>1</v>
      </c>
      <c r="G17">
        <v>1</v>
      </c>
      <c r="H17">
        <v>132.9217224121094</v>
      </c>
      <c r="I17">
        <v>132.4508361816406</v>
      </c>
      <c r="J17">
        <v>2.891355037689209</v>
      </c>
      <c r="K17">
        <v>140.09074401855469</v>
      </c>
      <c r="L17" s="2"/>
    </row>
    <row r="18" spans="1:16" x14ac:dyDescent="0.25">
      <c r="A18" t="s">
        <v>23</v>
      </c>
      <c r="B18">
        <v>0</v>
      </c>
      <c r="C18">
        <v>0</v>
      </c>
      <c r="D18">
        <v>6.0105821345938323E-2</v>
      </c>
      <c r="E18">
        <v>-1.9451090781140039</v>
      </c>
      <c r="F18">
        <v>1</v>
      </c>
      <c r="G18">
        <v>1</v>
      </c>
      <c r="H18">
        <v>28.755867004394531</v>
      </c>
      <c r="I18">
        <v>28.544609069824219</v>
      </c>
      <c r="J18">
        <v>5.7324280738830566</v>
      </c>
      <c r="K18">
        <v>41.164508819580078</v>
      </c>
      <c r="L18" s="2"/>
    </row>
    <row r="19" spans="1:16" x14ac:dyDescent="0.25">
      <c r="A19" t="s">
        <v>29</v>
      </c>
      <c r="B19">
        <v>0</v>
      </c>
      <c r="C19">
        <v>0</v>
      </c>
      <c r="D19">
        <v>6.878505606437102E-2</v>
      </c>
      <c r="E19">
        <v>-1.756613756613757</v>
      </c>
      <c r="F19">
        <v>1</v>
      </c>
      <c r="G19">
        <v>1</v>
      </c>
      <c r="H19">
        <v>27.70351409912109</v>
      </c>
      <c r="I19">
        <v>27.435981750488281</v>
      </c>
      <c r="J19">
        <v>5.9951949119567871</v>
      </c>
      <c r="K19">
        <v>39.885944366455078</v>
      </c>
      <c r="L19" s="2"/>
    </row>
    <row r="20" spans="1:16" x14ac:dyDescent="0.25">
      <c r="A20" t="s">
        <v>23</v>
      </c>
      <c r="B20">
        <v>0</v>
      </c>
      <c r="C20">
        <v>0</v>
      </c>
      <c r="D20">
        <v>8.9388144565754432E-2</v>
      </c>
      <c r="E20">
        <v>-1.9189094722125131</v>
      </c>
      <c r="F20">
        <v>1</v>
      </c>
      <c r="G20">
        <v>1</v>
      </c>
      <c r="H20">
        <v>27.977434158325199</v>
      </c>
      <c r="I20">
        <v>27.590576171875</v>
      </c>
      <c r="J20">
        <v>5.6830177307128906</v>
      </c>
      <c r="K20">
        <v>40.49017333984375</v>
      </c>
      <c r="L20" s="2"/>
    </row>
    <row r="21" spans="1:16" x14ac:dyDescent="0.25">
      <c r="A21" t="s">
        <v>10</v>
      </c>
      <c r="B21">
        <v>0</v>
      </c>
      <c r="C21">
        <v>0</v>
      </c>
      <c r="D21">
        <v>9.0734619140625E-2</v>
      </c>
      <c r="E21">
        <v>1.480519480519481</v>
      </c>
      <c r="F21">
        <v>1</v>
      </c>
      <c r="G21">
        <v>1</v>
      </c>
      <c r="H21">
        <v>24.20285797119141</v>
      </c>
      <c r="I21">
        <v>23.990116119384769</v>
      </c>
      <c r="J21">
        <v>2.12373948097229</v>
      </c>
      <c r="K21">
        <v>29.23270416259766</v>
      </c>
      <c r="L21" s="2"/>
    </row>
    <row r="22" spans="1:16" x14ac:dyDescent="0.25">
      <c r="A22" t="s">
        <v>29</v>
      </c>
      <c r="B22">
        <v>0</v>
      </c>
      <c r="C22">
        <v>0</v>
      </c>
      <c r="D22">
        <v>9.3992002075538039E-2</v>
      </c>
      <c r="E22">
        <v>-1.2839707078925959</v>
      </c>
      <c r="F22">
        <v>1</v>
      </c>
      <c r="G22">
        <v>1</v>
      </c>
      <c r="H22">
        <v>43.405338287353523</v>
      </c>
      <c r="I22">
        <v>43.247684478759773</v>
      </c>
      <c r="J22">
        <v>3.022564172744751</v>
      </c>
      <c r="K22">
        <v>50.976459503173828</v>
      </c>
      <c r="L22" s="2"/>
    </row>
    <row r="23" spans="1:16" x14ac:dyDescent="0.25">
      <c r="A23" t="s">
        <v>23</v>
      </c>
      <c r="B23">
        <v>0</v>
      </c>
      <c r="C23">
        <v>0</v>
      </c>
      <c r="D23">
        <v>9.5552844190978869E-2</v>
      </c>
      <c r="E23">
        <v>-1.9054517727792599</v>
      </c>
      <c r="F23">
        <v>1</v>
      </c>
      <c r="G23">
        <v>1</v>
      </c>
      <c r="H23">
        <v>57.225383758544922</v>
      </c>
      <c r="I23">
        <v>57.025993347167969</v>
      </c>
      <c r="J23">
        <v>9.4983739852905273</v>
      </c>
      <c r="K23">
        <v>77.3681640625</v>
      </c>
      <c r="L23" s="2"/>
    </row>
    <row r="24" spans="1:16" x14ac:dyDescent="0.25">
      <c r="A24" t="s">
        <v>21</v>
      </c>
      <c r="B24">
        <v>0</v>
      </c>
      <c r="C24">
        <v>0</v>
      </c>
      <c r="D24">
        <v>0.1118069816846682</v>
      </c>
      <c r="E24">
        <v>-1.5717761557177621</v>
      </c>
      <c r="F24">
        <v>1</v>
      </c>
      <c r="G24">
        <v>1</v>
      </c>
      <c r="H24">
        <v>31.455657958984379</v>
      </c>
      <c r="I24">
        <v>30.30339431762695</v>
      </c>
      <c r="J24">
        <v>2.1665768623352051</v>
      </c>
      <c r="K24">
        <v>36.548469543457031</v>
      </c>
      <c r="L24" s="2"/>
    </row>
    <row r="25" spans="1:16" x14ac:dyDescent="0.25">
      <c r="A25" t="s">
        <v>23</v>
      </c>
      <c r="B25">
        <v>7.6099881093935784E-2</v>
      </c>
      <c r="C25">
        <v>0.1414364640883978</v>
      </c>
      <c r="D25">
        <v>0.13870574156755</v>
      </c>
      <c r="E25">
        <v>-1.6022099447513809</v>
      </c>
      <c r="F25">
        <v>0.92147239263803682</v>
      </c>
      <c r="G25">
        <v>0.28888888888888892</v>
      </c>
      <c r="H25">
        <v>5.006850422324991</v>
      </c>
      <c r="I25">
        <v>5</v>
      </c>
      <c r="J25">
        <v>3.4206153851447039</v>
      </c>
      <c r="K25">
        <v>12.96229267120361</v>
      </c>
      <c r="L25" s="2"/>
    </row>
    <row r="26" spans="1:16" x14ac:dyDescent="0.25">
      <c r="A26" t="s">
        <v>5</v>
      </c>
      <c r="B26">
        <v>0.68681318681318682</v>
      </c>
      <c r="C26">
        <v>0.81433224755700329</v>
      </c>
      <c r="D26">
        <v>0.15092553236904679</v>
      </c>
      <c r="E26">
        <v>-8.4690553745928335E-2</v>
      </c>
      <c r="F26">
        <v>0.21875</v>
      </c>
      <c r="G26">
        <v>0.1496598639455782</v>
      </c>
      <c r="H26">
        <v>0.30058639787972352</v>
      </c>
      <c r="I26">
        <v>0</v>
      </c>
      <c r="J26">
        <v>0.41632611507002298</v>
      </c>
      <c r="K26">
        <v>2.09765625</v>
      </c>
      <c r="L26" s="2"/>
    </row>
    <row r="27" spans="1:16" x14ac:dyDescent="0.25">
      <c r="A27" t="s">
        <v>29</v>
      </c>
      <c r="B27">
        <v>0</v>
      </c>
      <c r="C27">
        <v>0</v>
      </c>
      <c r="D27">
        <v>0.16106811264762649</v>
      </c>
      <c r="E27">
        <v>-0.94839609483960952</v>
      </c>
      <c r="F27">
        <v>1</v>
      </c>
      <c r="G27">
        <v>1</v>
      </c>
      <c r="H27">
        <v>53.543552398681641</v>
      </c>
      <c r="I27">
        <v>53.385044097900391</v>
      </c>
      <c r="J27">
        <v>2.8583590984344478</v>
      </c>
      <c r="K27">
        <v>60.389854431152337</v>
      </c>
      <c r="L27" s="2"/>
      <c r="N27" t="s">
        <v>33</v>
      </c>
      <c r="O27" t="s">
        <v>34</v>
      </c>
      <c r="P27" t="s">
        <v>35</v>
      </c>
    </row>
    <row r="28" spans="1:16" x14ac:dyDescent="0.25">
      <c r="A28" t="s">
        <v>8</v>
      </c>
      <c r="B28">
        <v>0</v>
      </c>
      <c r="C28">
        <v>0</v>
      </c>
      <c r="D28">
        <v>0.16193155978525681</v>
      </c>
      <c r="E28">
        <v>-1.348425196850394</v>
      </c>
      <c r="F28">
        <v>1</v>
      </c>
      <c r="G28">
        <v>1</v>
      </c>
      <c r="H28">
        <v>18.781097412109379</v>
      </c>
      <c r="I28">
        <v>18.04170989990234</v>
      </c>
      <c r="J28">
        <v>3.4583699703216548</v>
      </c>
      <c r="K28">
        <v>27.809490203857418</v>
      </c>
      <c r="L28" s="2"/>
      <c r="N28">
        <f>MEDIAN(C2:C73)</f>
        <v>0</v>
      </c>
      <c r="O28">
        <v>0</v>
      </c>
      <c r="P28">
        <f>MAX(C2:C73)</f>
        <v>0.82514880952380953</v>
      </c>
    </row>
    <row r="29" spans="1:16" x14ac:dyDescent="0.25">
      <c r="A29" t="s">
        <v>13</v>
      </c>
      <c r="B29">
        <v>0</v>
      </c>
      <c r="C29">
        <v>0</v>
      </c>
      <c r="D29">
        <v>0.1646517602186805</v>
      </c>
      <c r="E29">
        <v>-1.930077318349902</v>
      </c>
      <c r="F29">
        <v>1</v>
      </c>
      <c r="G29">
        <v>1</v>
      </c>
      <c r="H29">
        <v>31.543107986450199</v>
      </c>
      <c r="I29">
        <v>30.763055801391602</v>
      </c>
      <c r="J29">
        <v>9.7476835250854492</v>
      </c>
      <c r="K29">
        <v>54.895679473876953</v>
      </c>
      <c r="L29" s="2"/>
    </row>
    <row r="30" spans="1:16" x14ac:dyDescent="0.25">
      <c r="A30" t="s">
        <v>29</v>
      </c>
      <c r="B30">
        <v>0</v>
      </c>
      <c r="C30">
        <v>0</v>
      </c>
      <c r="D30">
        <v>0.1691856037359685</v>
      </c>
      <c r="E30">
        <v>-0.9098417068134893</v>
      </c>
      <c r="F30">
        <v>1</v>
      </c>
      <c r="G30">
        <v>1</v>
      </c>
      <c r="H30">
        <v>55.654556274414063</v>
      </c>
      <c r="I30">
        <v>55.610530853271477</v>
      </c>
      <c r="J30">
        <v>2.5379142761230469</v>
      </c>
      <c r="K30">
        <v>61.377742767333977</v>
      </c>
      <c r="L30" s="2"/>
    </row>
    <row r="31" spans="1:16" x14ac:dyDescent="0.25">
      <c r="A31" t="s">
        <v>28</v>
      </c>
      <c r="B31">
        <v>1.293238693701716E-3</v>
      </c>
      <c r="C31">
        <v>2.58313677497491E-3</v>
      </c>
      <c r="D31">
        <v>0.17274096578949211</v>
      </c>
      <c r="E31">
        <v>-1.9940037349616979</v>
      </c>
      <c r="F31">
        <v>0.99870649255915145</v>
      </c>
      <c r="G31">
        <v>0.1384180790960452</v>
      </c>
      <c r="H31">
        <v>53.603020254164541</v>
      </c>
      <c r="I31">
        <v>50.392095565795898</v>
      </c>
      <c r="J31">
        <v>27.61124857683059</v>
      </c>
      <c r="K31">
        <v>107.9234161376953</v>
      </c>
      <c r="L31" s="2"/>
    </row>
    <row r="32" spans="1:16" x14ac:dyDescent="0.25">
      <c r="A32" t="s">
        <v>29</v>
      </c>
      <c r="B32">
        <v>0</v>
      </c>
      <c r="C32">
        <v>0</v>
      </c>
      <c r="D32">
        <v>0.1794392766896635</v>
      </c>
      <c r="E32">
        <v>-0.86255924170616116</v>
      </c>
      <c r="F32">
        <v>1</v>
      </c>
      <c r="G32">
        <v>1</v>
      </c>
      <c r="H32">
        <v>83.410423278808594</v>
      </c>
      <c r="I32">
        <v>83.301971435546875</v>
      </c>
      <c r="J32">
        <v>2.6065914630889888</v>
      </c>
      <c r="K32">
        <v>89.507225036621094</v>
      </c>
      <c r="L32" s="2"/>
    </row>
    <row r="33" spans="1:12" x14ac:dyDescent="0.25">
      <c r="A33" t="s">
        <v>28</v>
      </c>
      <c r="B33">
        <v>1.339783514727019E-3</v>
      </c>
      <c r="C33">
        <v>2.67598179316185E-3</v>
      </c>
      <c r="D33">
        <v>0.186404093027079</v>
      </c>
      <c r="E33">
        <v>-1.9935302212342541</v>
      </c>
      <c r="F33">
        <v>0.99865984147112086</v>
      </c>
      <c r="G33">
        <v>0.1727748691099476</v>
      </c>
      <c r="H33">
        <v>58.723053581222437</v>
      </c>
      <c r="I33">
        <v>56.394519805908203</v>
      </c>
      <c r="J33">
        <v>32.259959767992292</v>
      </c>
      <c r="K33">
        <v>115.53257751464839</v>
      </c>
      <c r="L33" s="2"/>
    </row>
    <row r="34" spans="1:12" x14ac:dyDescent="0.25">
      <c r="A34" t="s">
        <v>5</v>
      </c>
      <c r="B34">
        <v>0.47577854671280279</v>
      </c>
      <c r="C34">
        <v>0.64478311840562719</v>
      </c>
      <c r="D34">
        <v>0.18891359153676601</v>
      </c>
      <c r="E34">
        <v>0.58851113716295433</v>
      </c>
      <c r="F34">
        <v>8.6378737541528236E-2</v>
      </c>
      <c r="G34">
        <v>0.50181159420289856</v>
      </c>
      <c r="H34">
        <v>0.67291444065750283</v>
      </c>
      <c r="I34">
        <v>0.69921875</v>
      </c>
      <c r="J34">
        <v>0.62937038931651912</v>
      </c>
      <c r="K34">
        <v>3.1276977062225342</v>
      </c>
      <c r="L34" s="2"/>
    </row>
    <row r="35" spans="1:12" x14ac:dyDescent="0.25">
      <c r="A35" t="s">
        <v>29</v>
      </c>
      <c r="B35">
        <v>0.37583892617449671</v>
      </c>
      <c r="C35">
        <v>0.54634146341463419</v>
      </c>
      <c r="D35">
        <v>0.18926571327028799</v>
      </c>
      <c r="E35">
        <v>0.88130081300813012</v>
      </c>
      <c r="F35">
        <v>2.3255813953488368E-2</v>
      </c>
      <c r="G35">
        <v>0.62076749435665912</v>
      </c>
      <c r="H35">
        <v>0.76150107488912699</v>
      </c>
      <c r="I35">
        <v>0.69998931884765625</v>
      </c>
      <c r="J35">
        <v>0.51417022302653992</v>
      </c>
      <c r="K35">
        <v>1.8819490671157839</v>
      </c>
      <c r="L35" s="2"/>
    </row>
    <row r="36" spans="1:12" x14ac:dyDescent="0.25">
      <c r="A36" t="s">
        <v>9</v>
      </c>
      <c r="B36">
        <v>0</v>
      </c>
      <c r="C36">
        <v>0</v>
      </c>
      <c r="D36">
        <v>0.19897192382812501</v>
      </c>
      <c r="E36">
        <v>-1.5112727272727271</v>
      </c>
      <c r="F36">
        <v>1</v>
      </c>
      <c r="G36">
        <v>1</v>
      </c>
      <c r="H36">
        <v>16.11307334899902</v>
      </c>
      <c r="I36">
        <v>15.63908100128174</v>
      </c>
      <c r="J36">
        <v>3.9919605255126949</v>
      </c>
      <c r="K36">
        <v>24.80706787109375</v>
      </c>
      <c r="L36" s="2"/>
    </row>
    <row r="37" spans="1:12" x14ac:dyDescent="0.25">
      <c r="A37" t="s">
        <v>23</v>
      </c>
      <c r="B37">
        <v>0</v>
      </c>
      <c r="C37">
        <v>0</v>
      </c>
      <c r="D37">
        <v>0.20343508763240661</v>
      </c>
      <c r="E37">
        <v>-0.71844660194174759</v>
      </c>
      <c r="F37">
        <v>1</v>
      </c>
      <c r="G37">
        <v>1</v>
      </c>
      <c r="H37">
        <v>25.47199630737305</v>
      </c>
      <c r="I37">
        <v>25.15206336975098</v>
      </c>
      <c r="J37">
        <v>2.2803199291229248</v>
      </c>
      <c r="K37">
        <v>30.35658073425293</v>
      </c>
      <c r="L37" s="2"/>
    </row>
    <row r="38" spans="1:12" x14ac:dyDescent="0.25">
      <c r="A38" t="s">
        <v>7</v>
      </c>
      <c r="B38">
        <v>0.65708418891170428</v>
      </c>
      <c r="C38">
        <v>0.79306071871127626</v>
      </c>
      <c r="D38">
        <v>0.21003428292216089</v>
      </c>
      <c r="E38">
        <v>3.2218091697645598E-2</v>
      </c>
      <c r="F38">
        <v>0.19395465994962219</v>
      </c>
      <c r="G38">
        <v>0.21951219512195119</v>
      </c>
      <c r="H38">
        <v>0.36470146046072088</v>
      </c>
      <c r="I38">
        <v>0</v>
      </c>
      <c r="J38">
        <v>0.45838207057389507</v>
      </c>
      <c r="K38">
        <v>2.2107264995574951</v>
      </c>
      <c r="L38" s="2"/>
    </row>
    <row r="39" spans="1:12" x14ac:dyDescent="0.25">
      <c r="A39" t="s">
        <v>24</v>
      </c>
      <c r="B39">
        <v>0.31804043545878702</v>
      </c>
      <c r="C39">
        <v>0.48259587020648981</v>
      </c>
      <c r="D39">
        <v>0.2322232627868652</v>
      </c>
      <c r="E39">
        <v>-1.0206489675516219</v>
      </c>
      <c r="F39">
        <v>0.68046874999999996</v>
      </c>
      <c r="G39">
        <v>1.445783132530121E-2</v>
      </c>
      <c r="H39">
        <v>1.497214808689032</v>
      </c>
      <c r="I39">
        <v>1.248829126358032</v>
      </c>
      <c r="J39">
        <v>1.294378449606354</v>
      </c>
      <c r="K39">
        <v>6.4059476852416992</v>
      </c>
      <c r="L39" s="2"/>
    </row>
    <row r="40" spans="1:12" x14ac:dyDescent="0.25">
      <c r="A40" t="s">
        <v>23</v>
      </c>
      <c r="B40">
        <v>0</v>
      </c>
      <c r="C40">
        <v>0</v>
      </c>
      <c r="D40">
        <v>0.25583503444681438</v>
      </c>
      <c r="E40">
        <v>-0.5112107623318386</v>
      </c>
      <c r="F40">
        <v>1</v>
      </c>
      <c r="G40">
        <v>1</v>
      </c>
      <c r="H40">
        <v>23.47196197509766</v>
      </c>
      <c r="I40">
        <v>23.678144454956051</v>
      </c>
      <c r="J40">
        <v>2.5089352130889888</v>
      </c>
      <c r="K40">
        <v>28.333234786987301</v>
      </c>
      <c r="L40" s="2"/>
    </row>
    <row r="41" spans="1:12" x14ac:dyDescent="0.25">
      <c r="A41" t="s">
        <v>23</v>
      </c>
      <c r="B41">
        <v>0</v>
      </c>
      <c r="C41">
        <v>0</v>
      </c>
      <c r="D41">
        <v>0.27124678350987552</v>
      </c>
      <c r="E41">
        <v>-0.45614035087719301</v>
      </c>
      <c r="F41">
        <v>1</v>
      </c>
      <c r="G41">
        <v>1</v>
      </c>
      <c r="H41">
        <v>19.7978401184082</v>
      </c>
      <c r="I41">
        <v>19.69161224365234</v>
      </c>
      <c r="J41">
        <v>3.0752897262573242</v>
      </c>
      <c r="K41">
        <v>27.425874710083011</v>
      </c>
      <c r="L41" s="2"/>
    </row>
    <row r="42" spans="1:12" x14ac:dyDescent="0.25">
      <c r="A42" t="s">
        <v>29</v>
      </c>
      <c r="B42">
        <v>0</v>
      </c>
      <c r="C42">
        <v>0</v>
      </c>
      <c r="D42">
        <v>0.27343127876520162</v>
      </c>
      <c r="E42">
        <v>-0.49145550972304058</v>
      </c>
      <c r="F42">
        <v>1</v>
      </c>
      <c r="G42">
        <v>1</v>
      </c>
      <c r="H42">
        <v>31.084918975830082</v>
      </c>
      <c r="I42">
        <v>31.136295318603519</v>
      </c>
      <c r="J42">
        <v>3.087361335754395</v>
      </c>
      <c r="K42">
        <v>37.980144500732422</v>
      </c>
      <c r="L42" s="2"/>
    </row>
    <row r="43" spans="1:12" x14ac:dyDescent="0.25">
      <c r="A43" t="s">
        <v>23</v>
      </c>
      <c r="B43">
        <v>0</v>
      </c>
      <c r="C43">
        <v>0</v>
      </c>
      <c r="D43">
        <v>0.32518790523058938</v>
      </c>
      <c r="E43">
        <v>-0.33858267716535428</v>
      </c>
      <c r="F43">
        <v>1</v>
      </c>
      <c r="G43">
        <v>1</v>
      </c>
      <c r="H43">
        <v>80.854194641113281</v>
      </c>
      <c r="I43">
        <v>80.256927490234375</v>
      </c>
      <c r="J43">
        <v>3.0762228965759282</v>
      </c>
      <c r="K43">
        <v>88.741851806640625</v>
      </c>
      <c r="L43" s="2"/>
    </row>
    <row r="44" spans="1:12" x14ac:dyDescent="0.25">
      <c r="A44" t="s">
        <v>5</v>
      </c>
      <c r="B44">
        <v>0.41505911636589921</v>
      </c>
      <c r="C44">
        <v>0.58663148636763418</v>
      </c>
      <c r="D44">
        <v>0.3425770020440268</v>
      </c>
      <c r="E44">
        <v>-0.2392260334212841</v>
      </c>
      <c r="F44">
        <v>0.47604084838963079</v>
      </c>
      <c r="G44">
        <v>0.33366633366633369</v>
      </c>
      <c r="H44">
        <v>0.80210503161652014</v>
      </c>
      <c r="I44">
        <v>0.6999969482421875</v>
      </c>
      <c r="J44">
        <v>0.64753297874918159</v>
      </c>
      <c r="K44">
        <v>3.0494415760040279</v>
      </c>
      <c r="L44" s="2"/>
    </row>
    <row r="45" spans="1:12" x14ac:dyDescent="0.25">
      <c r="A45" t="s">
        <v>29</v>
      </c>
      <c r="B45">
        <v>0</v>
      </c>
      <c r="C45">
        <v>0</v>
      </c>
      <c r="D45">
        <v>0.36528709897538653</v>
      </c>
      <c r="E45">
        <v>1.330087633885102</v>
      </c>
      <c r="F45">
        <v>1</v>
      </c>
      <c r="G45">
        <v>1</v>
      </c>
      <c r="H45">
        <v>16.837808609008789</v>
      </c>
      <c r="I45">
        <v>16.7905158996582</v>
      </c>
      <c r="J45">
        <v>2.6185142993927002</v>
      </c>
      <c r="K45">
        <v>21.94248008728027</v>
      </c>
      <c r="L45" s="2"/>
    </row>
    <row r="46" spans="1:12" x14ac:dyDescent="0.25">
      <c r="A46" t="s">
        <v>28</v>
      </c>
      <c r="B46">
        <v>2.1518585195382822E-3</v>
      </c>
      <c r="C46">
        <v>4.2944759344500658E-3</v>
      </c>
      <c r="D46">
        <v>0.38549537563191738</v>
      </c>
      <c r="E46">
        <v>-1.9866431654007259</v>
      </c>
      <c r="F46">
        <v>0.99784556793458667</v>
      </c>
      <c r="G46">
        <v>0.35696202531645571</v>
      </c>
      <c r="H46">
        <v>59.199465297013333</v>
      </c>
      <c r="I46">
        <v>59.791725158691413</v>
      </c>
      <c r="J46">
        <v>26.446728725287219</v>
      </c>
      <c r="K46">
        <v>110.2782821655273</v>
      </c>
      <c r="L46" s="2"/>
    </row>
    <row r="47" spans="1:12" x14ac:dyDescent="0.25">
      <c r="A47" t="s">
        <v>29</v>
      </c>
      <c r="B47">
        <v>0</v>
      </c>
      <c r="C47">
        <v>0</v>
      </c>
      <c r="D47">
        <v>0.3969025905826129</v>
      </c>
      <c r="E47">
        <v>1.3751135331516799</v>
      </c>
      <c r="F47">
        <v>1</v>
      </c>
      <c r="G47">
        <v>1</v>
      </c>
      <c r="H47">
        <v>32.180194854736328</v>
      </c>
      <c r="I47">
        <v>32.065238952636719</v>
      </c>
      <c r="J47">
        <v>2.394898414611816</v>
      </c>
      <c r="K47">
        <v>37.548999786376953</v>
      </c>
      <c r="L47" s="2"/>
    </row>
    <row r="48" spans="1:12" x14ac:dyDescent="0.25">
      <c r="A48" t="s">
        <v>5</v>
      </c>
      <c r="B48">
        <v>5.9533639444768005E-4</v>
      </c>
      <c r="C48">
        <v>1.1899643598038731E-3</v>
      </c>
      <c r="D48">
        <v>0.43224251107053541</v>
      </c>
      <c r="E48">
        <v>-1.997032724607241</v>
      </c>
      <c r="F48">
        <v>0.9994045761234438</v>
      </c>
      <c r="G48">
        <v>0.1979414093428345</v>
      </c>
      <c r="H48">
        <v>68.646269882740995</v>
      </c>
      <c r="I48">
        <v>71.781108856201172</v>
      </c>
      <c r="J48">
        <v>24.44243253157325</v>
      </c>
      <c r="K48">
        <v>120.9510040283203</v>
      </c>
      <c r="L48" s="2"/>
    </row>
    <row r="49" spans="1:12" x14ac:dyDescent="0.25">
      <c r="A49" t="s">
        <v>22</v>
      </c>
      <c r="B49">
        <v>0.42953929539295388</v>
      </c>
      <c r="C49">
        <v>0.60094786729857819</v>
      </c>
      <c r="D49">
        <v>0.44324707936275048</v>
      </c>
      <c r="E49">
        <v>-0.53649289099526065</v>
      </c>
      <c r="F49">
        <v>0.52615844544095669</v>
      </c>
      <c r="G49">
        <v>0.17875647668393779</v>
      </c>
      <c r="H49">
        <v>4.0710125597526368</v>
      </c>
      <c r="I49">
        <v>0.677734375</v>
      </c>
      <c r="J49">
        <v>6.6208862655471066</v>
      </c>
      <c r="K49">
        <v>23.526266098022461</v>
      </c>
      <c r="L49" s="2"/>
    </row>
    <row r="50" spans="1:12" x14ac:dyDescent="0.25">
      <c r="A50" t="s">
        <v>15</v>
      </c>
      <c r="B50">
        <v>0</v>
      </c>
      <c r="C50">
        <v>0</v>
      </c>
      <c r="D50">
        <v>0.44880064668510478</v>
      </c>
      <c r="E50">
        <v>-1.839814007555943</v>
      </c>
      <c r="F50">
        <v>1</v>
      </c>
      <c r="G50">
        <v>1</v>
      </c>
      <c r="H50">
        <v>62.855575561523438</v>
      </c>
      <c r="I50">
        <v>62.943305969238281</v>
      </c>
      <c r="J50">
        <v>8.2108497619628906</v>
      </c>
      <c r="K50">
        <v>77.664497375488281</v>
      </c>
      <c r="L50" s="2"/>
    </row>
    <row r="51" spans="1:12" x14ac:dyDescent="0.25">
      <c r="A51" t="s">
        <v>5</v>
      </c>
      <c r="B51">
        <v>0.40123266563944532</v>
      </c>
      <c r="C51">
        <v>0.57268528700241916</v>
      </c>
      <c r="D51">
        <v>0.45311883187441709</v>
      </c>
      <c r="E51">
        <v>-0.83527600615790631</v>
      </c>
      <c r="F51">
        <v>0.59602854483400558</v>
      </c>
      <c r="G51">
        <v>1.6616314199395771E-2</v>
      </c>
      <c r="H51">
        <v>1.9431274523405719</v>
      </c>
      <c r="I51">
        <v>1.2115318775177</v>
      </c>
      <c r="J51">
        <v>2.2008701802089421</v>
      </c>
      <c r="K51">
        <v>9.7484760284423828</v>
      </c>
      <c r="L51" s="2"/>
    </row>
    <row r="52" spans="1:12" x14ac:dyDescent="0.25">
      <c r="A52" t="s">
        <v>9</v>
      </c>
      <c r="B52">
        <v>0.1237145528201932</v>
      </c>
      <c r="C52">
        <v>0.2201885745978924</v>
      </c>
      <c r="D52">
        <v>0.47315049743652338</v>
      </c>
      <c r="E52">
        <v>-1.5568496949528561</v>
      </c>
      <c r="F52">
        <v>0.87618899111180415</v>
      </c>
      <c r="G52">
        <v>6.2578222778473091E-3</v>
      </c>
      <c r="H52">
        <v>10.937457659748651</v>
      </c>
      <c r="I52">
        <v>9.8363614082336426</v>
      </c>
      <c r="J52">
        <v>9.0121486981880672</v>
      </c>
      <c r="K52">
        <v>32.375492095947273</v>
      </c>
      <c r="L52" s="2"/>
    </row>
    <row r="53" spans="1:12" x14ac:dyDescent="0.25">
      <c r="A53" t="s">
        <v>30</v>
      </c>
      <c r="B53">
        <v>0.49613003095975228</v>
      </c>
      <c r="C53">
        <v>0.6632177961717538</v>
      </c>
      <c r="D53">
        <v>0.49257202148437501</v>
      </c>
      <c r="E53">
        <v>-0.4852560786342473</v>
      </c>
      <c r="F53">
        <v>0.46627810158201499</v>
      </c>
      <c r="G53">
        <v>0.1243169398907104</v>
      </c>
      <c r="H53">
        <v>0.8989482338010768</v>
      </c>
      <c r="I53">
        <v>0.8203125</v>
      </c>
      <c r="J53">
        <v>0.80392763383627419</v>
      </c>
      <c r="K53">
        <v>3.4802911281585689</v>
      </c>
      <c r="L53" s="2"/>
    </row>
    <row r="54" spans="1:12" x14ac:dyDescent="0.25">
      <c r="A54" t="s">
        <v>5</v>
      </c>
      <c r="B54">
        <v>8.3874422298018108E-4</v>
      </c>
      <c r="C54">
        <v>1.676082641327711E-3</v>
      </c>
      <c r="D54">
        <v>0.50342734266409939</v>
      </c>
      <c r="E54">
        <v>-1.996544474330213</v>
      </c>
      <c r="F54">
        <v>0.99916123408504864</v>
      </c>
      <c r="G54">
        <v>2.9911624745071381E-2</v>
      </c>
      <c r="H54">
        <v>58.614617363796803</v>
      </c>
      <c r="I54">
        <v>61.843547821044922</v>
      </c>
      <c r="J54">
        <v>20.85565739834836</v>
      </c>
      <c r="K54">
        <v>99.917800903320313</v>
      </c>
      <c r="L54" s="2"/>
    </row>
    <row r="55" spans="1:12" x14ac:dyDescent="0.25">
      <c r="A55" t="s">
        <v>19</v>
      </c>
      <c r="B55">
        <v>0</v>
      </c>
      <c r="C55">
        <v>0</v>
      </c>
      <c r="D55">
        <v>0.52253589341277251</v>
      </c>
      <c r="E55">
        <v>-0.54393305439330542</v>
      </c>
      <c r="F55">
        <v>1</v>
      </c>
      <c r="G55">
        <v>1</v>
      </c>
      <c r="H55">
        <v>102.0190048217773</v>
      </c>
      <c r="I55">
        <v>102.11546325683589</v>
      </c>
      <c r="J55">
        <v>2.7761964797973628</v>
      </c>
      <c r="K55">
        <v>107.8014831542969</v>
      </c>
      <c r="L55" s="2"/>
    </row>
    <row r="56" spans="1:12" x14ac:dyDescent="0.25">
      <c r="A56" t="s">
        <v>10</v>
      </c>
      <c r="B56">
        <v>0.23568464730290459</v>
      </c>
      <c r="C56">
        <v>0.38146406984553388</v>
      </c>
      <c r="D56">
        <v>0.53718505859374999</v>
      </c>
      <c r="E56">
        <v>1.196776359973136</v>
      </c>
      <c r="F56">
        <v>5.016722408026756E-2</v>
      </c>
      <c r="G56">
        <v>0.76134453781512601</v>
      </c>
      <c r="H56">
        <v>1.5239328733906761</v>
      </c>
      <c r="I56">
        <v>1.3794317245483401</v>
      </c>
      <c r="J56">
        <v>0.98531745541254945</v>
      </c>
      <c r="K56">
        <v>4.4167923927307129</v>
      </c>
      <c r="L56" s="2"/>
    </row>
    <row r="57" spans="1:12" x14ac:dyDescent="0.25">
      <c r="A57" t="s">
        <v>23</v>
      </c>
      <c r="B57">
        <v>0</v>
      </c>
      <c r="C57">
        <v>0</v>
      </c>
      <c r="D57">
        <v>0.54403474192605716</v>
      </c>
      <c r="E57">
        <v>-1.694239930705933</v>
      </c>
      <c r="F57">
        <v>1</v>
      </c>
      <c r="G57">
        <v>1</v>
      </c>
      <c r="H57">
        <v>43.076168060302727</v>
      </c>
      <c r="I57">
        <v>41.450885772705078</v>
      </c>
      <c r="J57">
        <v>7.6371550559997559</v>
      </c>
      <c r="K57">
        <v>56.533126831054688</v>
      </c>
      <c r="L57" s="2"/>
    </row>
    <row r="58" spans="1:12" x14ac:dyDescent="0.25">
      <c r="A58" t="s">
        <v>8</v>
      </c>
      <c r="B58">
        <v>0.45876077144029542</v>
      </c>
      <c r="C58">
        <v>0.62897327707454287</v>
      </c>
      <c r="D58">
        <v>0.58119242605705446</v>
      </c>
      <c r="E58">
        <v>-0.66329113924050631</v>
      </c>
      <c r="F58">
        <v>0.52767215885086605</v>
      </c>
      <c r="G58">
        <v>5.8922558922558918E-2</v>
      </c>
      <c r="H58">
        <v>1.4954461302210691</v>
      </c>
      <c r="I58">
        <v>0.79999923706054688</v>
      </c>
      <c r="J58">
        <v>1.811143841536943</v>
      </c>
      <c r="K58">
        <v>8.4830350875854492</v>
      </c>
      <c r="L58" s="2"/>
    </row>
    <row r="59" spans="1:12" x14ac:dyDescent="0.25">
      <c r="A59" t="s">
        <v>6</v>
      </c>
      <c r="B59">
        <v>0</v>
      </c>
      <c r="C59">
        <v>0</v>
      </c>
      <c r="D59">
        <v>0.58776289244101898</v>
      </c>
      <c r="E59">
        <v>-1.873863445417375</v>
      </c>
      <c r="F59">
        <v>1</v>
      </c>
      <c r="G59">
        <v>1</v>
      </c>
      <c r="H59">
        <v>28.399946212768551</v>
      </c>
      <c r="I59">
        <v>29.154949188232418</v>
      </c>
      <c r="J59">
        <v>9.5980148315429688</v>
      </c>
      <c r="K59">
        <v>46.455966949462891</v>
      </c>
      <c r="L59" s="2"/>
    </row>
    <row r="60" spans="1:12" x14ac:dyDescent="0.25">
      <c r="A60" t="s">
        <v>8</v>
      </c>
      <c r="B60">
        <v>0.60245464247598723</v>
      </c>
      <c r="C60">
        <v>0.75191475191475188</v>
      </c>
      <c r="D60">
        <v>0.64381248543020508</v>
      </c>
      <c r="E60">
        <v>-0.2470862470862471</v>
      </c>
      <c r="F60">
        <v>0.33076467101363372</v>
      </c>
      <c r="G60">
        <v>0.14209726443769</v>
      </c>
      <c r="H60">
        <v>0.72532243684785291</v>
      </c>
      <c r="I60">
        <v>0.7819976806640625</v>
      </c>
      <c r="J60">
        <v>0.8303480139153735</v>
      </c>
      <c r="K60">
        <v>4.224703311920166</v>
      </c>
      <c r="L60" s="2"/>
    </row>
    <row r="61" spans="1:12" x14ac:dyDescent="0.25">
      <c r="A61" t="s">
        <v>23</v>
      </c>
      <c r="B61">
        <v>6.5268065268065265E-2</v>
      </c>
      <c r="C61">
        <v>0.12253829321663021</v>
      </c>
      <c r="D61">
        <v>0.65654051008640313</v>
      </c>
      <c r="E61">
        <v>1.728665207877462</v>
      </c>
      <c r="F61">
        <v>9.6774193548387094E-2</v>
      </c>
      <c r="G61">
        <v>0.93427230046948362</v>
      </c>
      <c r="H61">
        <v>3.654925634966621</v>
      </c>
      <c r="I61">
        <v>4.0521972179412842</v>
      </c>
      <c r="J61">
        <v>2.0088273992597792</v>
      </c>
      <c r="K61">
        <v>7.0226426124572754</v>
      </c>
      <c r="L61" s="2"/>
    </row>
    <row r="62" spans="1:12" x14ac:dyDescent="0.25">
      <c r="A62" t="s">
        <v>18</v>
      </c>
      <c r="B62">
        <v>0.29440154440154442</v>
      </c>
      <c r="C62">
        <v>0.45488441461595819</v>
      </c>
      <c r="D62">
        <v>0.694610595703125</v>
      </c>
      <c r="E62">
        <v>-0.88242605021128506</v>
      </c>
      <c r="F62">
        <v>0.68437392204208347</v>
      </c>
      <c r="G62">
        <v>0.18594306049822071</v>
      </c>
      <c r="H62">
        <v>3.208414699201998</v>
      </c>
      <c r="I62">
        <v>1.5722353458404541</v>
      </c>
      <c r="J62">
        <v>3.6975367648017028</v>
      </c>
      <c r="K62">
        <v>15</v>
      </c>
      <c r="L62" s="2"/>
    </row>
    <row r="63" spans="1:12" x14ac:dyDescent="0.25">
      <c r="A63" t="s">
        <v>21</v>
      </c>
      <c r="B63">
        <v>0.46739130434782611</v>
      </c>
      <c r="C63">
        <v>0.63703703703703707</v>
      </c>
      <c r="D63">
        <v>0.70133470329473679</v>
      </c>
      <c r="E63">
        <v>0.72592592592592597</v>
      </c>
      <c r="F63">
        <v>0</v>
      </c>
      <c r="G63">
        <v>0.53260869565217395</v>
      </c>
      <c r="H63">
        <v>0.43286871056497828</v>
      </c>
      <c r="I63">
        <v>0</v>
      </c>
      <c r="J63">
        <v>0.64901922573371407</v>
      </c>
      <c r="K63">
        <v>2.8515625</v>
      </c>
      <c r="L63" s="2"/>
    </row>
    <row r="64" spans="1:12" x14ac:dyDescent="0.25">
      <c r="A64" t="s">
        <v>27</v>
      </c>
      <c r="B64">
        <v>0.63797692990239574</v>
      </c>
      <c r="C64">
        <v>0.77898158179848331</v>
      </c>
      <c r="D64">
        <v>0.74327046689104459</v>
      </c>
      <c r="E64">
        <v>-0.15384615384615391</v>
      </c>
      <c r="F64">
        <v>0.27665995975855129</v>
      </c>
      <c r="G64">
        <v>0.1561032863849765</v>
      </c>
      <c r="H64">
        <v>0.5481064193274664</v>
      </c>
      <c r="I64">
        <v>0.64453125</v>
      </c>
      <c r="J64">
        <v>0.5246340327799609</v>
      </c>
      <c r="K64">
        <v>3.0036864280700679</v>
      </c>
      <c r="L64" s="2"/>
    </row>
    <row r="65" spans="1:12" x14ac:dyDescent="0.25">
      <c r="A65" t="s">
        <v>30</v>
      </c>
      <c r="B65">
        <v>0.70234325522482588</v>
      </c>
      <c r="C65">
        <v>0.82514880952380953</v>
      </c>
      <c r="D65">
        <v>0.76577453613281254</v>
      </c>
      <c r="E65">
        <v>-0.30654761904761912</v>
      </c>
      <c r="F65">
        <v>0.28451612903225809</v>
      </c>
      <c r="G65">
        <v>2.5483304042179258E-2</v>
      </c>
      <c r="H65">
        <v>0.50373311344913874</v>
      </c>
      <c r="I65">
        <v>0</v>
      </c>
      <c r="J65">
        <v>0.78597300406543269</v>
      </c>
      <c r="K65">
        <v>6.1356034278869629</v>
      </c>
      <c r="L65" s="2"/>
    </row>
    <row r="66" spans="1:12" x14ac:dyDescent="0.25">
      <c r="A66" t="s">
        <v>24</v>
      </c>
      <c r="B66">
        <v>0.49274486094316811</v>
      </c>
      <c r="C66">
        <v>0.66018631024706365</v>
      </c>
      <c r="D66">
        <v>0.7996314277648926</v>
      </c>
      <c r="E66">
        <v>0.3151073309031997</v>
      </c>
      <c r="F66">
        <v>0.21634615384615391</v>
      </c>
      <c r="G66">
        <v>0.42967109867039888</v>
      </c>
      <c r="H66">
        <v>1.0668081982916551</v>
      </c>
      <c r="I66">
        <v>0.748046875</v>
      </c>
      <c r="J66">
        <v>1.2355757708660109</v>
      </c>
      <c r="K66">
        <v>7.3730368614196777</v>
      </c>
      <c r="L66" s="2"/>
    </row>
    <row r="67" spans="1:12" x14ac:dyDescent="0.25">
      <c r="A67" t="s">
        <v>30</v>
      </c>
      <c r="B67">
        <v>0.49303503588011821</v>
      </c>
      <c r="C67">
        <v>0.66044670624823298</v>
      </c>
      <c r="D67">
        <v>0.8074951171875</v>
      </c>
      <c r="E67">
        <v>-0.64291772688719251</v>
      </c>
      <c r="F67">
        <v>0.50021394950791609</v>
      </c>
      <c r="G67">
        <v>2.6666666666666668E-2</v>
      </c>
      <c r="H67">
        <v>1.297004425583254</v>
      </c>
      <c r="I67">
        <v>0.8203125</v>
      </c>
      <c r="J67">
        <v>1.2881826700797629</v>
      </c>
      <c r="K67">
        <v>5.17364501953125</v>
      </c>
      <c r="L67" s="2"/>
    </row>
    <row r="68" spans="1:12" x14ac:dyDescent="0.25">
      <c r="A68" t="s">
        <v>23</v>
      </c>
      <c r="B68">
        <v>0</v>
      </c>
      <c r="C68">
        <v>0</v>
      </c>
      <c r="D68">
        <v>0.8337756243116059</v>
      </c>
      <c r="E68">
        <v>0.58233890214797135</v>
      </c>
      <c r="F68">
        <v>1</v>
      </c>
      <c r="G68">
        <v>1</v>
      </c>
      <c r="H68">
        <v>31.041091918945309</v>
      </c>
      <c r="I68">
        <v>30.959247589111332</v>
      </c>
      <c r="J68">
        <v>2.7543094158172612</v>
      </c>
      <c r="K68">
        <v>37.546077728271477</v>
      </c>
      <c r="L68" s="2"/>
    </row>
    <row r="69" spans="1:12" x14ac:dyDescent="0.25">
      <c r="A69" t="s">
        <v>6</v>
      </c>
      <c r="B69">
        <v>0.39813460131675199</v>
      </c>
      <c r="C69">
        <v>0.56952256376716803</v>
      </c>
      <c r="D69">
        <v>0.84075497225429352</v>
      </c>
      <c r="E69">
        <v>-0.73590582079790712</v>
      </c>
      <c r="F69">
        <v>0.58366800535475238</v>
      </c>
      <c r="G69">
        <v>9.8923841059602655E-2</v>
      </c>
      <c r="H69">
        <v>1.415631691135731</v>
      </c>
      <c r="I69">
        <v>1.2183046340942381</v>
      </c>
      <c r="J69">
        <v>1.1425692166111721</v>
      </c>
      <c r="K69">
        <v>4.9000015258789063</v>
      </c>
      <c r="L69" s="2"/>
    </row>
    <row r="70" spans="1:12" x14ac:dyDescent="0.25">
      <c r="A70" t="s">
        <v>29</v>
      </c>
      <c r="B70">
        <v>0</v>
      </c>
      <c r="C70">
        <v>0</v>
      </c>
      <c r="D70">
        <v>0.86771707370644435</v>
      </c>
      <c r="E70">
        <v>0.63082901554404147</v>
      </c>
      <c r="F70">
        <v>1</v>
      </c>
      <c r="G70">
        <v>1</v>
      </c>
      <c r="H70">
        <v>38.953952789306641</v>
      </c>
      <c r="I70">
        <v>39.1148681640625</v>
      </c>
      <c r="J70">
        <v>2.7718291282653809</v>
      </c>
      <c r="K70">
        <v>44.427539825439453</v>
      </c>
      <c r="L70" s="2"/>
    </row>
    <row r="71" spans="1:12" x14ac:dyDescent="0.25">
      <c r="A71" t="s">
        <v>24</v>
      </c>
      <c r="B71">
        <v>0.65962732919254663</v>
      </c>
      <c r="C71">
        <v>0.79491017964071864</v>
      </c>
      <c r="D71">
        <v>0.91938029098510743</v>
      </c>
      <c r="E71">
        <v>-0.3602794411177645</v>
      </c>
      <c r="F71">
        <v>0.32642706131078231</v>
      </c>
      <c r="G71">
        <v>3.0432136335970781E-2</v>
      </c>
      <c r="H71">
        <v>0.68888313854484073</v>
      </c>
      <c r="I71">
        <v>0.748046875</v>
      </c>
      <c r="J71">
        <v>0.70587067471766229</v>
      </c>
      <c r="K71">
        <v>3</v>
      </c>
      <c r="L71" s="2"/>
    </row>
    <row r="72" spans="1:12" x14ac:dyDescent="0.25">
      <c r="A72" t="s">
        <v>30</v>
      </c>
      <c r="B72">
        <v>0.67487120778477394</v>
      </c>
      <c r="C72">
        <v>0.80587833219412175</v>
      </c>
      <c r="D72">
        <v>0.94947967529296873</v>
      </c>
      <c r="E72">
        <v>-7.1086807928913198E-2</v>
      </c>
      <c r="F72">
        <v>0.22178217821782181</v>
      </c>
      <c r="G72">
        <v>0.16442239546420981</v>
      </c>
      <c r="H72">
        <v>0.53359252599147866</v>
      </c>
      <c r="I72">
        <v>0</v>
      </c>
      <c r="J72">
        <v>0.60394029230557611</v>
      </c>
      <c r="K72">
        <v>3.1221568584442139</v>
      </c>
      <c r="L72" s="2"/>
    </row>
    <row r="73" spans="1:12" x14ac:dyDescent="0.25">
      <c r="A73" t="s">
        <v>9</v>
      </c>
      <c r="B73">
        <v>0.61979166666666663</v>
      </c>
      <c r="C73">
        <v>0.76527331189710612</v>
      </c>
      <c r="D73">
        <v>0.96465852355957027</v>
      </c>
      <c r="E73">
        <v>-0.38832550086569378</v>
      </c>
      <c r="F73">
        <v>0.35915492957746481</v>
      </c>
      <c r="G73">
        <v>5.0337630448127689E-2</v>
      </c>
      <c r="H73">
        <v>0.7140648527888952</v>
      </c>
      <c r="I73">
        <v>0.76953125</v>
      </c>
      <c r="J73">
        <v>0.72792056424295482</v>
      </c>
      <c r="K73">
        <v>3.84765625</v>
      </c>
      <c r="L73" s="2"/>
    </row>
    <row r="74" spans="1:12" x14ac:dyDescent="0.25">
      <c r="A74" t="s">
        <v>11</v>
      </c>
      <c r="B74">
        <v>0.33459552495697081</v>
      </c>
      <c r="C74">
        <v>0.50141862264637604</v>
      </c>
      <c r="D74">
        <v>1.0084883731758869</v>
      </c>
      <c r="E74">
        <v>0.98994067578024247</v>
      </c>
      <c r="F74">
        <v>7.1501532175689483E-3</v>
      </c>
      <c r="G74">
        <v>0.6645962732919255</v>
      </c>
      <c r="H74">
        <v>1.7154635143680119</v>
      </c>
      <c r="I74">
        <v>1.5675196647644041</v>
      </c>
      <c r="J74">
        <v>1.3231433847084719</v>
      </c>
      <c r="K74">
        <v>6.1726031303405762</v>
      </c>
      <c r="L74" s="2"/>
    </row>
    <row r="75" spans="1:12" x14ac:dyDescent="0.25">
      <c r="A75" t="s">
        <v>9</v>
      </c>
      <c r="B75">
        <v>0.74577046181984452</v>
      </c>
      <c r="C75">
        <v>0.85437401781037192</v>
      </c>
      <c r="D75">
        <v>1.0132171478271479</v>
      </c>
      <c r="E75">
        <v>-0.20743844944997381</v>
      </c>
      <c r="F75">
        <v>0.22591362126245851</v>
      </c>
      <c r="G75">
        <v>4.6756282875511403E-2</v>
      </c>
      <c r="H75">
        <v>0.39987170892561269</v>
      </c>
      <c r="I75">
        <v>0</v>
      </c>
      <c r="J75">
        <v>0.52645313823587392</v>
      </c>
      <c r="K75">
        <v>2.5158705711364751</v>
      </c>
      <c r="L75" s="2"/>
    </row>
    <row r="76" spans="1:12" x14ac:dyDescent="0.25">
      <c r="A76" t="s">
        <v>24</v>
      </c>
      <c r="B76">
        <v>0.67063339731285987</v>
      </c>
      <c r="C76">
        <v>0.80284926470588225</v>
      </c>
      <c r="D76">
        <v>1.017305763244629</v>
      </c>
      <c r="E76">
        <v>-0.32904411764705882</v>
      </c>
      <c r="F76">
        <v>0.31057616416732442</v>
      </c>
      <c r="G76">
        <v>3.9053905390539052E-2</v>
      </c>
      <c r="H76">
        <v>0.63372998568462546</v>
      </c>
      <c r="I76">
        <v>0.748046875</v>
      </c>
      <c r="J76">
        <v>0.66858931727906046</v>
      </c>
      <c r="K76">
        <v>4.5865201950073242</v>
      </c>
      <c r="L76" s="2"/>
    </row>
    <row r="77" spans="1:12" x14ac:dyDescent="0.25">
      <c r="A77" t="s">
        <v>5</v>
      </c>
      <c r="B77">
        <v>0.64393268379096547</v>
      </c>
      <c r="C77">
        <v>0.78340517241379304</v>
      </c>
      <c r="D77">
        <v>1.0486073269359619</v>
      </c>
      <c r="E77">
        <v>-0.34913793103448282</v>
      </c>
      <c r="F77">
        <v>0.33302752293577981</v>
      </c>
      <c r="G77">
        <v>5.0913838120104443E-2</v>
      </c>
      <c r="H77">
        <v>0.98457148951642659</v>
      </c>
      <c r="I77">
        <v>0.69921875</v>
      </c>
      <c r="J77">
        <v>1.606150530980172</v>
      </c>
      <c r="K77">
        <v>14.00434494018555</v>
      </c>
      <c r="L77" s="2"/>
    </row>
    <row r="78" spans="1:12" x14ac:dyDescent="0.25">
      <c r="A78" t="s">
        <v>10</v>
      </c>
      <c r="B78">
        <v>0.71847948814452389</v>
      </c>
      <c r="C78">
        <v>0.83618046430135795</v>
      </c>
      <c r="D78">
        <v>1.1375683593749999</v>
      </c>
      <c r="E78">
        <v>0.2076215505913272</v>
      </c>
      <c r="F78">
        <v>6.6959921798631472E-2</v>
      </c>
      <c r="G78">
        <v>0.24246031746031749</v>
      </c>
      <c r="H78">
        <v>0.46671639472873372</v>
      </c>
      <c r="I78">
        <v>0.671875</v>
      </c>
      <c r="J78">
        <v>0.5366812234575099</v>
      </c>
      <c r="K78">
        <v>3.0743155479431148</v>
      </c>
      <c r="L78" s="2"/>
    </row>
    <row r="79" spans="1:12" x14ac:dyDescent="0.25">
      <c r="A79" t="s">
        <v>13</v>
      </c>
      <c r="B79">
        <v>0</v>
      </c>
      <c r="C79">
        <v>0</v>
      </c>
      <c r="D79">
        <v>1.280122201700181</v>
      </c>
      <c r="E79">
        <v>4.6646176098354718E-2</v>
      </c>
      <c r="F79">
        <v>1</v>
      </c>
      <c r="G79">
        <v>1</v>
      </c>
      <c r="H79">
        <v>16.122871398925781</v>
      </c>
      <c r="I79">
        <v>16.139263153076168</v>
      </c>
      <c r="J79">
        <v>3.7705235481262211</v>
      </c>
      <c r="K79">
        <v>25.083011627197269</v>
      </c>
      <c r="L79" s="2"/>
    </row>
    <row r="80" spans="1:12" x14ac:dyDescent="0.25">
      <c r="A80" t="s">
        <v>28</v>
      </c>
      <c r="B80">
        <v>3.0738764508498821E-2</v>
      </c>
      <c r="C80">
        <v>5.9644141788256888E-2</v>
      </c>
      <c r="D80">
        <v>1.365824754928781</v>
      </c>
      <c r="E80">
        <v>-1.8804982441908871</v>
      </c>
      <c r="F80">
        <v>0.96925954450434593</v>
      </c>
      <c r="G80">
        <v>1.786352268667381E-3</v>
      </c>
      <c r="H80">
        <v>21.23704187066452</v>
      </c>
      <c r="I80">
        <v>18.26737022399902</v>
      </c>
      <c r="J80">
        <v>15.29958586789432</v>
      </c>
      <c r="K80">
        <v>57.883140563964837</v>
      </c>
      <c r="L80" s="2"/>
    </row>
    <row r="81" spans="1:12" x14ac:dyDescent="0.25">
      <c r="A81" t="s">
        <v>12</v>
      </c>
      <c r="B81">
        <v>0.27680096453330649</v>
      </c>
      <c r="C81">
        <v>0.4335851432168713</v>
      </c>
      <c r="D81">
        <v>1.4620907249450681</v>
      </c>
      <c r="E81">
        <v>-1.0207743153918789</v>
      </c>
      <c r="F81">
        <v>0.71293112430968009</v>
      </c>
      <c r="G81">
        <v>0.1144326583092253</v>
      </c>
      <c r="H81">
        <v>7.1877119804688956</v>
      </c>
      <c r="I81">
        <v>3.7013165950775151</v>
      </c>
      <c r="J81">
        <v>7.4486711396905374</v>
      </c>
      <c r="K81">
        <v>24.880512237548832</v>
      </c>
      <c r="L81" s="2"/>
    </row>
    <row r="82" spans="1:12" x14ac:dyDescent="0.25">
      <c r="A82" t="s">
        <v>21</v>
      </c>
      <c r="B82">
        <v>0.52224052718286651</v>
      </c>
      <c r="C82">
        <v>0.68614718614718606</v>
      </c>
      <c r="D82">
        <v>1.5348049303986271</v>
      </c>
      <c r="E82">
        <v>0.61471861471861466</v>
      </c>
      <c r="F82">
        <v>9.3749999999999997E-3</v>
      </c>
      <c r="G82">
        <v>0.47516556291390732</v>
      </c>
      <c r="H82">
        <v>0.59270973277814465</v>
      </c>
      <c r="I82">
        <v>0</v>
      </c>
      <c r="J82">
        <v>1.1169548673317851</v>
      </c>
      <c r="K82">
        <v>5.7031288146972656</v>
      </c>
      <c r="L82" s="2"/>
    </row>
    <row r="83" spans="1:12" x14ac:dyDescent="0.25">
      <c r="A83" t="s">
        <v>14</v>
      </c>
      <c r="B83">
        <v>0.70313289540171808</v>
      </c>
      <c r="C83">
        <v>0.82569351728230234</v>
      </c>
      <c r="D83">
        <v>1.5590632438659671</v>
      </c>
      <c r="E83">
        <v>-7.5656430796617713E-2</v>
      </c>
      <c r="F83">
        <v>0.20440251572327051</v>
      </c>
      <c r="G83">
        <v>0.14184397163120571</v>
      </c>
      <c r="H83">
        <v>0.56044119420067773</v>
      </c>
      <c r="I83">
        <v>0.693359375</v>
      </c>
      <c r="J83">
        <v>0.61744941740086479</v>
      </c>
      <c r="K83">
        <v>2.9677386283874512</v>
      </c>
      <c r="L83" s="2"/>
    </row>
    <row r="84" spans="1:12" x14ac:dyDescent="0.25">
      <c r="A84" t="s">
        <v>17</v>
      </c>
      <c r="B84">
        <v>0.29690346083788699</v>
      </c>
      <c r="C84">
        <v>0.4578651685393258</v>
      </c>
      <c r="D84">
        <v>1.569270088033677</v>
      </c>
      <c r="E84">
        <v>1.050561797752809</v>
      </c>
      <c r="F84">
        <v>3.5502958579881658E-2</v>
      </c>
      <c r="G84">
        <v>0.69981583793738489</v>
      </c>
      <c r="H84">
        <v>2.4634335661492148</v>
      </c>
      <c r="I84">
        <v>2.5500030517578121</v>
      </c>
      <c r="J84">
        <v>1.554393045806296</v>
      </c>
      <c r="K84">
        <v>4.8192343711853027</v>
      </c>
      <c r="L84" s="2"/>
    </row>
    <row r="85" spans="1:12" x14ac:dyDescent="0.25">
      <c r="A85" t="s">
        <v>10</v>
      </c>
      <c r="B85">
        <v>0.61578657865786579</v>
      </c>
      <c r="C85">
        <v>0.7622127659574468</v>
      </c>
      <c r="D85">
        <v>1.5867272949218749</v>
      </c>
      <c r="E85">
        <v>0.39319148936170212</v>
      </c>
      <c r="F85">
        <v>5.1271186440677963E-2</v>
      </c>
      <c r="G85">
        <v>0.36301564722617352</v>
      </c>
      <c r="H85">
        <v>0.78499081920454261</v>
      </c>
      <c r="I85">
        <v>0.671875</v>
      </c>
      <c r="J85">
        <v>0.90341395891682041</v>
      </c>
      <c r="K85">
        <v>4.1534295082092294</v>
      </c>
      <c r="L85" s="2"/>
    </row>
    <row r="86" spans="1:12" x14ac:dyDescent="0.25">
      <c r="A86" t="s">
        <v>29</v>
      </c>
      <c r="B86">
        <v>0.6193877551020408</v>
      </c>
      <c r="C86">
        <v>0.76496534341524891</v>
      </c>
      <c r="D86">
        <v>1.6504141091718341</v>
      </c>
      <c r="E86">
        <v>0.43415248897290493</v>
      </c>
      <c r="F86">
        <v>2.2937625754527159E-2</v>
      </c>
      <c r="G86">
        <v>0.37147294848563289</v>
      </c>
      <c r="H86">
        <v>0.73235182723535697</v>
      </c>
      <c r="I86">
        <v>0.69998931884765625</v>
      </c>
      <c r="J86">
        <v>0.70758852894163715</v>
      </c>
      <c r="K86">
        <v>3.4999237060546879</v>
      </c>
      <c r="L86" s="2"/>
    </row>
    <row r="87" spans="1:12" x14ac:dyDescent="0.25">
      <c r="A87" t="s">
        <v>23</v>
      </c>
      <c r="B87">
        <v>0</v>
      </c>
      <c r="C87">
        <v>0</v>
      </c>
      <c r="D87">
        <v>1.7569393931889661</v>
      </c>
      <c r="E87">
        <v>-1.1563367252543939</v>
      </c>
      <c r="F87">
        <v>1</v>
      </c>
      <c r="G87">
        <v>1</v>
      </c>
      <c r="H87">
        <v>57.246025085449219</v>
      </c>
      <c r="I87">
        <v>56.761856079101563</v>
      </c>
      <c r="J87">
        <v>5.6934905052185059</v>
      </c>
      <c r="K87">
        <v>69.941688537597656</v>
      </c>
      <c r="L87" s="2"/>
    </row>
    <row r="88" spans="1:12" x14ac:dyDescent="0.25">
      <c r="A88" t="s">
        <v>29</v>
      </c>
      <c r="B88">
        <v>0.61761592208342153</v>
      </c>
      <c r="C88">
        <v>0.7636125654450262</v>
      </c>
      <c r="D88">
        <v>1.880267277883831</v>
      </c>
      <c r="E88">
        <v>0.3041884816753927</v>
      </c>
      <c r="F88">
        <v>9.9413399197283106E-2</v>
      </c>
      <c r="G88">
        <v>0.3371960917973188</v>
      </c>
      <c r="H88">
        <v>0.99156284430461339</v>
      </c>
      <c r="I88">
        <v>0.78125</v>
      </c>
      <c r="J88">
        <v>0.92928038083796061</v>
      </c>
      <c r="K88">
        <v>5.3026981353759766</v>
      </c>
      <c r="L88" s="2"/>
    </row>
    <row r="89" spans="1:12" x14ac:dyDescent="0.25">
      <c r="A89" t="s">
        <v>27</v>
      </c>
      <c r="B89">
        <v>0</v>
      </c>
      <c r="C89">
        <v>0</v>
      </c>
      <c r="D89">
        <v>1.968387241934852</v>
      </c>
      <c r="E89">
        <v>-0.94968773032313125</v>
      </c>
      <c r="F89">
        <v>1</v>
      </c>
      <c r="G89">
        <v>1</v>
      </c>
      <c r="H89">
        <v>28.005649566650391</v>
      </c>
      <c r="I89">
        <v>24.261930465698239</v>
      </c>
      <c r="J89">
        <v>14.327339172363279</v>
      </c>
      <c r="K89">
        <v>72.729156494140625</v>
      </c>
      <c r="L89" s="2"/>
    </row>
    <row r="90" spans="1:12" x14ac:dyDescent="0.25">
      <c r="A90" t="s">
        <v>21</v>
      </c>
      <c r="B90">
        <v>0.53409090909090906</v>
      </c>
      <c r="C90">
        <v>0.69629629629629619</v>
      </c>
      <c r="D90">
        <v>2.0074435347929058</v>
      </c>
      <c r="E90">
        <v>0.60082304526748975</v>
      </c>
      <c r="F90">
        <v>4.7058823529411761E-3</v>
      </c>
      <c r="G90">
        <v>0.46455696202531638</v>
      </c>
      <c r="H90">
        <v>0.79379973814855165</v>
      </c>
      <c r="I90">
        <v>0</v>
      </c>
      <c r="J90">
        <v>1.133358874876617</v>
      </c>
      <c r="K90">
        <v>5</v>
      </c>
      <c r="L90" s="2"/>
    </row>
    <row r="91" spans="1:12" x14ac:dyDescent="0.25">
      <c r="A91" t="s">
        <v>11</v>
      </c>
      <c r="B91">
        <v>0.60400067808103064</v>
      </c>
      <c r="C91">
        <v>0.75311773409427185</v>
      </c>
      <c r="D91">
        <v>2.0201086978212639</v>
      </c>
      <c r="E91">
        <v>0.4540266328471782</v>
      </c>
      <c r="F91">
        <v>2.5704129067541701E-2</v>
      </c>
      <c r="G91">
        <v>0.38621877691645129</v>
      </c>
      <c r="H91">
        <v>0.94212308366276576</v>
      </c>
      <c r="I91">
        <v>0.705078125</v>
      </c>
      <c r="J91">
        <v>0.78834490384670119</v>
      </c>
      <c r="K91">
        <v>3.7931995391845699</v>
      </c>
      <c r="L91" s="2"/>
    </row>
    <row r="92" spans="1:12" x14ac:dyDescent="0.25">
      <c r="A92" t="s">
        <v>21</v>
      </c>
      <c r="B92">
        <v>0.68013468013468015</v>
      </c>
      <c r="C92">
        <v>0.80961923847695394</v>
      </c>
      <c r="D92">
        <v>2.1090862454153321</v>
      </c>
      <c r="E92">
        <v>0.21776887107548429</v>
      </c>
      <c r="F92">
        <v>9.145427286356822E-2</v>
      </c>
      <c r="G92">
        <v>0.26987951807228922</v>
      </c>
      <c r="H92">
        <v>0.66402713083035769</v>
      </c>
      <c r="I92">
        <v>0</v>
      </c>
      <c r="J92">
        <v>1.505871471459115</v>
      </c>
      <c r="K92">
        <v>5.1006298065185547</v>
      </c>
      <c r="L92" s="2"/>
    </row>
    <row r="93" spans="1:12" x14ac:dyDescent="0.25">
      <c r="A93" t="s">
        <v>15</v>
      </c>
      <c r="B93">
        <v>0.49529359031824288</v>
      </c>
      <c r="C93">
        <v>0.66247002398081534</v>
      </c>
      <c r="D93">
        <v>2.1873331953099879</v>
      </c>
      <c r="E93">
        <v>1.3189448441247E-2</v>
      </c>
      <c r="F93">
        <v>0.3331321665660833</v>
      </c>
      <c r="G93">
        <v>0.34187016081000587</v>
      </c>
      <c r="H93">
        <v>1.2052610167940641</v>
      </c>
      <c r="I93">
        <v>0.8000030517578125</v>
      </c>
      <c r="J93">
        <v>1.3713598737583379</v>
      </c>
      <c r="K93">
        <v>9.3371610641479492</v>
      </c>
      <c r="L93" s="2"/>
    </row>
    <row r="94" spans="1:12" x14ac:dyDescent="0.25">
      <c r="A94" t="s">
        <v>8</v>
      </c>
      <c r="B94">
        <v>0.29082047116165721</v>
      </c>
      <c r="C94">
        <v>0.45059786028949023</v>
      </c>
      <c r="D94">
        <v>2.277315440484502</v>
      </c>
      <c r="E94">
        <v>0.92951541850220265</v>
      </c>
      <c r="F94">
        <v>0.1581422692533804</v>
      </c>
      <c r="G94">
        <v>0.69237379162191193</v>
      </c>
      <c r="H94">
        <v>2.4691066088196099</v>
      </c>
      <c r="I94">
        <v>1.7486016750335689</v>
      </c>
      <c r="J94">
        <v>2.581502041821897</v>
      </c>
      <c r="K94">
        <v>11.4430685043335</v>
      </c>
      <c r="L94" s="2"/>
    </row>
    <row r="95" spans="1:12" x14ac:dyDescent="0.25">
      <c r="A95" t="s">
        <v>11</v>
      </c>
      <c r="B95">
        <v>0.76230294722412606</v>
      </c>
      <c r="C95">
        <v>0.86512134411947728</v>
      </c>
      <c r="D95">
        <v>2.3044202923294419</v>
      </c>
      <c r="E95">
        <v>6.0360920970752963E-2</v>
      </c>
      <c r="F95">
        <v>0.10795636830285529</v>
      </c>
      <c r="G95">
        <v>0.16022349743279979</v>
      </c>
      <c r="H95">
        <v>0.52437708006714878</v>
      </c>
      <c r="I95">
        <v>0.6999969482421875</v>
      </c>
      <c r="J95">
        <v>0.50159618134276307</v>
      </c>
      <c r="K95">
        <v>2.542195320129395</v>
      </c>
      <c r="L95" s="2"/>
    </row>
    <row r="96" spans="1:12" x14ac:dyDescent="0.25">
      <c r="A96" t="s">
        <v>6</v>
      </c>
      <c r="B96">
        <v>0.65648467627359453</v>
      </c>
      <c r="C96">
        <v>0.7926239049194389</v>
      </c>
      <c r="D96">
        <v>2.322864006538663</v>
      </c>
      <c r="E96">
        <v>-0.36427127366292961</v>
      </c>
      <c r="F96">
        <v>0.3294983416252073</v>
      </c>
      <c r="G96">
        <v>3.086142322097378E-2</v>
      </c>
      <c r="H96">
        <v>0.83498711501322975</v>
      </c>
      <c r="I96">
        <v>0.705078125</v>
      </c>
      <c r="J96">
        <v>0.69443752550201554</v>
      </c>
      <c r="K96">
        <v>3.4500300884246831</v>
      </c>
      <c r="L96" s="2"/>
    </row>
    <row r="97" spans="1:12" x14ac:dyDescent="0.25">
      <c r="A97" t="s">
        <v>10</v>
      </c>
      <c r="B97">
        <v>0.71865218191861535</v>
      </c>
      <c r="C97">
        <v>0.83629740732804803</v>
      </c>
      <c r="D97">
        <v>2.3640656738281249</v>
      </c>
      <c r="E97">
        <v>0.24426826655238909</v>
      </c>
      <c r="F97">
        <v>4.7351720771296069E-2</v>
      </c>
      <c r="G97">
        <v>0.25472598816116099</v>
      </c>
      <c r="H97">
        <v>0.6174765700556667</v>
      </c>
      <c r="I97">
        <v>0.671875</v>
      </c>
      <c r="J97">
        <v>0.70704205897018746</v>
      </c>
      <c r="K97">
        <v>4.0560345649719238</v>
      </c>
      <c r="L97" s="2"/>
    </row>
    <row r="98" spans="1:12" x14ac:dyDescent="0.25">
      <c r="A98" t="s">
        <v>15</v>
      </c>
      <c r="B98">
        <v>1.811851874544575E-3</v>
      </c>
      <c r="C98">
        <v>3.6171500090647181E-3</v>
      </c>
      <c r="D98">
        <v>2.4179216262628569</v>
      </c>
      <c r="E98">
        <v>-1.991891992250213</v>
      </c>
      <c r="F98">
        <v>0.99818775156437745</v>
      </c>
      <c r="G98">
        <v>0.10775862068965519</v>
      </c>
      <c r="H98">
        <v>103.38479489681799</v>
      </c>
      <c r="I98">
        <v>105.08022308349609</v>
      </c>
      <c r="J98">
        <v>46.625291388911833</v>
      </c>
      <c r="K98">
        <v>190.0780029296875</v>
      </c>
      <c r="L98" s="2"/>
    </row>
    <row r="99" spans="1:12" x14ac:dyDescent="0.25">
      <c r="A99" t="s">
        <v>6</v>
      </c>
      <c r="B99">
        <v>0.69901559369283039</v>
      </c>
      <c r="C99">
        <v>0.82284776701020357</v>
      </c>
      <c r="D99">
        <v>2.8076204950942221</v>
      </c>
      <c r="E99">
        <v>-0.34528021330051789</v>
      </c>
      <c r="F99">
        <v>0.29829470922606027</v>
      </c>
      <c r="G99">
        <v>5.4536440257808624E-3</v>
      </c>
      <c r="H99">
        <v>0.83137663526795724</v>
      </c>
      <c r="I99">
        <v>0.705078125</v>
      </c>
      <c r="J99">
        <v>0.63252156920215064</v>
      </c>
      <c r="K99">
        <v>3.5942142009735112</v>
      </c>
      <c r="L99" s="2"/>
    </row>
    <row r="100" spans="1:12" x14ac:dyDescent="0.25">
      <c r="A100" t="s">
        <v>5</v>
      </c>
      <c r="B100">
        <v>0.67840080462660302</v>
      </c>
      <c r="C100">
        <v>0.80838951310861429</v>
      </c>
      <c r="D100">
        <v>2.8429442117679629</v>
      </c>
      <c r="E100">
        <v>-0.34067415730337081</v>
      </c>
      <c r="F100">
        <v>0.3092677931387609</v>
      </c>
      <c r="G100">
        <v>2.564102564102564E-2</v>
      </c>
      <c r="H100">
        <v>1.0122910445965481</v>
      </c>
      <c r="I100">
        <v>0.6999969482421875</v>
      </c>
      <c r="J100">
        <v>1.0108418156993511</v>
      </c>
      <c r="K100">
        <v>7.7581648826599121</v>
      </c>
      <c r="L100" s="2"/>
    </row>
    <row r="101" spans="1:12" x14ac:dyDescent="0.25">
      <c r="A101" t="s">
        <v>27</v>
      </c>
      <c r="B101">
        <v>0.57715228752177505</v>
      </c>
      <c r="C101">
        <v>0.7318916405069178</v>
      </c>
      <c r="D101">
        <v>2.9797701385886279</v>
      </c>
      <c r="E101">
        <v>0.38274619230322049</v>
      </c>
      <c r="F101">
        <v>9.4895758447160319E-2</v>
      </c>
      <c r="G101">
        <v>0.38567385576266222</v>
      </c>
      <c r="H101">
        <v>1.240878923588161</v>
      </c>
      <c r="I101">
        <v>0.91150486469268799</v>
      </c>
      <c r="J101">
        <v>1.268978032367486</v>
      </c>
      <c r="K101">
        <v>5.9422845840454102</v>
      </c>
      <c r="L101" s="2"/>
    </row>
    <row r="102" spans="1:12" x14ac:dyDescent="0.25">
      <c r="A102" t="s">
        <v>25</v>
      </c>
      <c r="B102">
        <v>0.75491356855316127</v>
      </c>
      <c r="C102">
        <v>0.86034273377411963</v>
      </c>
      <c r="D102">
        <v>3.6552238464355469</v>
      </c>
      <c r="E102">
        <v>0.1109162056402645</v>
      </c>
      <c r="F102">
        <v>8.9142857142857149E-2</v>
      </c>
      <c r="G102">
        <v>0.18486320634108919</v>
      </c>
      <c r="H102">
        <v>0.54896523308946443</v>
      </c>
      <c r="I102">
        <v>0</v>
      </c>
      <c r="J102">
        <v>0.72950149122108776</v>
      </c>
      <c r="K102">
        <v>3.174099206924438</v>
      </c>
      <c r="L102" s="2"/>
    </row>
    <row r="103" spans="1:12" x14ac:dyDescent="0.25">
      <c r="A103" t="s">
        <v>18</v>
      </c>
      <c r="B103">
        <v>0.58624766032903164</v>
      </c>
      <c r="C103">
        <v>0.739162836914669</v>
      </c>
      <c r="D103">
        <v>3.9186172485351558</v>
      </c>
      <c r="E103">
        <v>-0.42479195131039621</v>
      </c>
      <c r="F103">
        <v>0.39032885974797671</v>
      </c>
      <c r="G103">
        <v>6.150449455921779E-2</v>
      </c>
      <c r="H103">
        <v>2.285425363098764</v>
      </c>
      <c r="I103">
        <v>0.99436891078948975</v>
      </c>
      <c r="J103">
        <v>3.865747659735173</v>
      </c>
      <c r="K103">
        <v>22.7236328125</v>
      </c>
      <c r="L103" s="2"/>
    </row>
    <row r="104" spans="1:12" x14ac:dyDescent="0.25">
      <c r="A104" t="s">
        <v>16</v>
      </c>
      <c r="B104">
        <v>0.57228060210167564</v>
      </c>
      <c r="C104">
        <v>0.72796242774566466</v>
      </c>
      <c r="D104">
        <v>4.1176336343413578</v>
      </c>
      <c r="E104">
        <v>-0.29696531791907521</v>
      </c>
      <c r="F104">
        <v>0.36615287826360488</v>
      </c>
      <c r="G104">
        <v>0.14509970301230379</v>
      </c>
      <c r="H104">
        <v>3.075603513641989</v>
      </c>
      <c r="I104">
        <v>0</v>
      </c>
      <c r="J104">
        <v>6.5830523385994999</v>
      </c>
      <c r="K104">
        <v>28.635774612426761</v>
      </c>
      <c r="L104" s="2"/>
    </row>
    <row r="105" spans="1:12" x14ac:dyDescent="0.25">
      <c r="A105" t="s">
        <v>22</v>
      </c>
      <c r="B105">
        <v>7.1827574274556327E-2</v>
      </c>
      <c r="C105">
        <v>0.1340282261783968</v>
      </c>
      <c r="D105">
        <v>4.3050085505983207</v>
      </c>
      <c r="E105">
        <v>-1.6541831934323401</v>
      </c>
      <c r="F105">
        <v>0.92664394799949512</v>
      </c>
      <c r="G105">
        <v>0.22485996265670849</v>
      </c>
      <c r="H105">
        <v>21.679711535980111</v>
      </c>
      <c r="I105">
        <v>21.715080261230469</v>
      </c>
      <c r="J105">
        <v>15.356984754674111</v>
      </c>
      <c r="K105">
        <v>64.168434143066406</v>
      </c>
      <c r="L105" s="2"/>
    </row>
    <row r="106" spans="1:12" x14ac:dyDescent="0.25">
      <c r="A106" t="s">
        <v>9</v>
      </c>
      <c r="B106">
        <v>0.70090778786430963</v>
      </c>
      <c r="C106">
        <v>0.82415730337078652</v>
      </c>
      <c r="D106">
        <v>4.3844884643554689</v>
      </c>
      <c r="E106">
        <v>-0.33617977528089887</v>
      </c>
      <c r="F106">
        <v>0.29444016929588301</v>
      </c>
      <c r="G106">
        <v>9.3192868719611018E-3</v>
      </c>
      <c r="H106">
        <v>0.90770911356077244</v>
      </c>
      <c r="I106">
        <v>0.76953125</v>
      </c>
      <c r="J106">
        <v>0.72297802930989541</v>
      </c>
      <c r="K106">
        <v>3.9754822254180908</v>
      </c>
      <c r="L106" s="2"/>
    </row>
    <row r="107" spans="1:12" x14ac:dyDescent="0.25">
      <c r="A107" t="s">
        <v>24</v>
      </c>
      <c r="B107">
        <v>0.71620132255694346</v>
      </c>
      <c r="C107">
        <v>0.83463555603125339</v>
      </c>
      <c r="D107">
        <v>4.4016100845336918</v>
      </c>
      <c r="E107">
        <v>-0.31617253558814079</v>
      </c>
      <c r="F107">
        <v>0.27929759704251389</v>
      </c>
      <c r="G107">
        <v>8.6448004068141373E-3</v>
      </c>
      <c r="H107">
        <v>0.84750978716323599</v>
      </c>
      <c r="I107">
        <v>0.748046875</v>
      </c>
      <c r="J107">
        <v>0.71244165376392909</v>
      </c>
      <c r="K107">
        <v>3.2423386573791499</v>
      </c>
      <c r="L107" s="2"/>
    </row>
    <row r="108" spans="1:12" x14ac:dyDescent="0.25">
      <c r="A108" t="s">
        <v>30</v>
      </c>
      <c r="B108">
        <v>0.68749361919346608</v>
      </c>
      <c r="C108">
        <v>0.81481033335349984</v>
      </c>
      <c r="D108">
        <v>4.6222366333007816</v>
      </c>
      <c r="E108">
        <v>-0.33770948030733861</v>
      </c>
      <c r="F108">
        <v>0.30289855072463773</v>
      </c>
      <c r="G108">
        <v>1.9653515795603441E-2</v>
      </c>
      <c r="H108">
        <v>0.96252949155913636</v>
      </c>
      <c r="I108">
        <v>0.8203125</v>
      </c>
      <c r="J108">
        <v>0.81762834394937267</v>
      </c>
      <c r="K108">
        <v>3.9293146133422852</v>
      </c>
      <c r="L108" s="2"/>
    </row>
    <row r="109" spans="1:12" x14ac:dyDescent="0.25">
      <c r="A109" t="s">
        <v>17</v>
      </c>
      <c r="B109">
        <v>0.43369852663392522</v>
      </c>
      <c r="C109">
        <v>0.60500658761528325</v>
      </c>
      <c r="D109">
        <v>5.9505103338146252</v>
      </c>
      <c r="E109">
        <v>0.17022397891963109</v>
      </c>
      <c r="F109">
        <v>0.33870967741935482</v>
      </c>
      <c r="G109">
        <v>0.44244779018941233</v>
      </c>
      <c r="H109">
        <v>2.4070442251328679</v>
      </c>
      <c r="I109">
        <v>0.84999847412109375</v>
      </c>
      <c r="J109">
        <v>3.9443429812510939</v>
      </c>
      <c r="K109">
        <v>20.808952331542969</v>
      </c>
      <c r="L109" s="2"/>
    </row>
    <row r="110" spans="1:12" x14ac:dyDescent="0.25">
      <c r="A110" t="s">
        <v>6</v>
      </c>
      <c r="B110">
        <v>6.8467233750949694E-2</v>
      </c>
      <c r="C110">
        <v>0.12815972561103131</v>
      </c>
      <c r="D110">
        <v>6.4681757737129777</v>
      </c>
      <c r="E110">
        <v>-1.740850215412072</v>
      </c>
      <c r="F110">
        <v>0.93148096382847878</v>
      </c>
      <c r="G110">
        <v>1.092161187927046E-2</v>
      </c>
      <c r="H110">
        <v>31.629136240317958</v>
      </c>
      <c r="I110">
        <v>29.471986770629879</v>
      </c>
      <c r="J110">
        <v>25.417766536070811</v>
      </c>
      <c r="K110">
        <v>85.294807434082031</v>
      </c>
      <c r="L110" s="2"/>
    </row>
    <row r="111" spans="1:12" x14ac:dyDescent="0.25">
      <c r="A111" t="s">
        <v>15</v>
      </c>
      <c r="B111">
        <v>0.59525371176435515</v>
      </c>
      <c r="C111">
        <v>0.74628092995439943</v>
      </c>
      <c r="D111">
        <v>6.6688258646764904</v>
      </c>
      <c r="E111">
        <v>-0.46931299992524478</v>
      </c>
      <c r="F111">
        <v>0.39555582465488009</v>
      </c>
      <c r="G111">
        <v>2.490720843914827E-2</v>
      </c>
      <c r="H111">
        <v>1.6321411831528361</v>
      </c>
      <c r="I111">
        <v>1.5061385631561279</v>
      </c>
      <c r="J111">
        <v>1.1422203143370391</v>
      </c>
      <c r="K111">
        <v>7.4028277397155762</v>
      </c>
      <c r="L111" s="2"/>
    </row>
    <row r="112" spans="1:12" x14ac:dyDescent="0.25">
      <c r="A112" t="s">
        <v>23</v>
      </c>
      <c r="B112">
        <v>0.80299700299700305</v>
      </c>
      <c r="C112">
        <v>0.89073581560283688</v>
      </c>
      <c r="D112">
        <v>7.3344513791107824</v>
      </c>
      <c r="E112">
        <v>0.10948581560283691</v>
      </c>
      <c r="F112">
        <v>5.7678780773739738E-2</v>
      </c>
      <c r="G112">
        <v>0.15549485185963441</v>
      </c>
      <c r="H112">
        <v>0.40490974092408671</v>
      </c>
      <c r="I112">
        <v>0</v>
      </c>
      <c r="J112">
        <v>0.68236556497527856</v>
      </c>
      <c r="K112">
        <v>3.434855699539185</v>
      </c>
      <c r="L112" s="2"/>
    </row>
    <row r="113" spans="1:12" x14ac:dyDescent="0.25">
      <c r="A113" t="s">
        <v>23</v>
      </c>
      <c r="B113">
        <v>0.75184238231312983</v>
      </c>
      <c r="C113">
        <v>0.85834478021978022</v>
      </c>
      <c r="D113">
        <v>9.0544025745484014</v>
      </c>
      <c r="E113">
        <v>1.751373626373626E-2</v>
      </c>
      <c r="F113">
        <v>0.1340724060280617</v>
      </c>
      <c r="G113">
        <v>0.14910638297872339</v>
      </c>
      <c r="H113">
        <v>0.82754036232503914</v>
      </c>
      <c r="I113">
        <v>0</v>
      </c>
      <c r="J113">
        <v>1.4916178240001301</v>
      </c>
      <c r="K113">
        <v>11.79181957244873</v>
      </c>
      <c r="L113" s="2"/>
    </row>
    <row r="114" spans="1:12" x14ac:dyDescent="0.25">
      <c r="A114" t="s">
        <v>9</v>
      </c>
      <c r="B114">
        <v>0.73830832675265423</v>
      </c>
      <c r="C114">
        <v>0.8494561239684022</v>
      </c>
      <c r="D114">
        <v>10.019065414428709</v>
      </c>
      <c r="E114">
        <v>-0.29200211998081921</v>
      </c>
      <c r="F114">
        <v>0.2587649753347428</v>
      </c>
      <c r="G114">
        <v>5.3194633252556297E-3</v>
      </c>
      <c r="H114">
        <v>0.88204273403623634</v>
      </c>
      <c r="I114">
        <v>0.76953125</v>
      </c>
      <c r="J114">
        <v>0.7432374602406584</v>
      </c>
      <c r="K114">
        <v>4.0492758750915527</v>
      </c>
      <c r="L114" s="2"/>
    </row>
    <row r="115" spans="1:12" x14ac:dyDescent="0.25">
      <c r="A115" t="s">
        <v>30</v>
      </c>
      <c r="B115">
        <v>0.76534768693628163</v>
      </c>
      <c r="C115">
        <v>0.86707869798104653</v>
      </c>
      <c r="D115">
        <v>10.70267486572266</v>
      </c>
      <c r="E115">
        <v>-0.25243785194341439</v>
      </c>
      <c r="F115">
        <v>0.23009756097560979</v>
      </c>
      <c r="G115">
        <v>7.67054385413392E-3</v>
      </c>
      <c r="H115">
        <v>0.83207257336559248</v>
      </c>
      <c r="I115">
        <v>0.8203125</v>
      </c>
      <c r="J115">
        <v>0.76957621182202118</v>
      </c>
      <c r="K115">
        <v>5.0530390739440918</v>
      </c>
      <c r="L115" s="2"/>
    </row>
    <row r="116" spans="1:12" x14ac:dyDescent="0.25">
      <c r="A116" t="s">
        <v>6</v>
      </c>
      <c r="B116">
        <v>0.72227079690232321</v>
      </c>
      <c r="C116">
        <v>0.83874243028610795</v>
      </c>
      <c r="D116">
        <v>10.779132974162559</v>
      </c>
      <c r="E116">
        <v>0.24643724843166409</v>
      </c>
      <c r="F116">
        <v>4.3384755366226893E-2</v>
      </c>
      <c r="G116">
        <v>0.25326876513317192</v>
      </c>
      <c r="H116">
        <v>1.019394957663905</v>
      </c>
      <c r="I116">
        <v>0.705078125</v>
      </c>
      <c r="J116">
        <v>0.97322113090616869</v>
      </c>
      <c r="K116">
        <v>5.6688098907470703</v>
      </c>
      <c r="L116" s="2"/>
    </row>
    <row r="117" spans="1:12" x14ac:dyDescent="0.25">
      <c r="A117" t="s">
        <v>15</v>
      </c>
      <c r="B117">
        <v>8.8816165581561256E-3</v>
      </c>
      <c r="C117">
        <v>1.760685577452813E-2</v>
      </c>
      <c r="D117">
        <v>10.815509343337411</v>
      </c>
      <c r="E117">
        <v>-1.9639859275293789</v>
      </c>
      <c r="F117">
        <v>0.99111659017139753</v>
      </c>
      <c r="G117">
        <v>2.2223560587810161E-2</v>
      </c>
      <c r="H117">
        <v>75.068409540843902</v>
      </c>
      <c r="I117">
        <v>83.829113006591797</v>
      </c>
      <c r="J117">
        <v>31.396059731346259</v>
      </c>
      <c r="K117">
        <v>129.3680419921875</v>
      </c>
      <c r="L117" s="2"/>
    </row>
    <row r="118" spans="1:12" x14ac:dyDescent="0.25">
      <c r="A118" t="s">
        <v>13</v>
      </c>
      <c r="B118">
        <v>0.39968216130313872</v>
      </c>
      <c r="C118">
        <v>0.57110417258018731</v>
      </c>
      <c r="D118">
        <v>13.05588943734004</v>
      </c>
      <c r="E118">
        <v>0.3407809902274847</v>
      </c>
      <c r="F118">
        <v>0.31159880737083923</v>
      </c>
      <c r="G118">
        <v>0.51203963551952325</v>
      </c>
      <c r="H118">
        <v>2.9164340857305651</v>
      </c>
      <c r="I118">
        <v>1.097913503646851</v>
      </c>
      <c r="J118">
        <v>4.6751378112506572</v>
      </c>
      <c r="K118">
        <v>26.67940521240234</v>
      </c>
      <c r="L118" s="2"/>
    </row>
    <row r="119" spans="1:12" x14ac:dyDescent="0.25">
      <c r="A119" t="s">
        <v>24</v>
      </c>
      <c r="B119">
        <v>0.77210294705960791</v>
      </c>
      <c r="C119">
        <v>0.87139739634283997</v>
      </c>
      <c r="D119">
        <v>13.18580473327637</v>
      </c>
      <c r="E119">
        <v>-0.22680412371134021</v>
      </c>
      <c r="F119">
        <v>0.21735604217356039</v>
      </c>
      <c r="G119">
        <v>1.714479714819216E-2</v>
      </c>
      <c r="H119">
        <v>0.8524256277324529</v>
      </c>
      <c r="I119">
        <v>0.748046875</v>
      </c>
      <c r="J119">
        <v>0.74580605334046712</v>
      </c>
      <c r="K119">
        <v>4.2413859367370614</v>
      </c>
      <c r="L119" s="2"/>
    </row>
    <row r="120" spans="1:12" x14ac:dyDescent="0.25">
      <c r="A120" t="s">
        <v>6</v>
      </c>
      <c r="B120">
        <v>0.79429360331339161</v>
      </c>
      <c r="C120">
        <v>0.88535521928699668</v>
      </c>
      <c r="D120">
        <v>14.51276712040276</v>
      </c>
      <c r="E120">
        <v>-0.21732068051637171</v>
      </c>
      <c r="F120">
        <v>0.20141887723627391</v>
      </c>
      <c r="G120">
        <v>6.7139842700939959E-3</v>
      </c>
      <c r="H120">
        <v>0.88043640620440744</v>
      </c>
      <c r="I120">
        <v>0.705078125</v>
      </c>
      <c r="J120">
        <v>0.77132951386411974</v>
      </c>
      <c r="K120">
        <v>4.3455719947814941</v>
      </c>
      <c r="L120" s="2"/>
    </row>
    <row r="121" spans="1:12" x14ac:dyDescent="0.25">
      <c r="A121" t="s">
        <v>22</v>
      </c>
      <c r="B121">
        <v>0.35431474394022228</v>
      </c>
      <c r="C121">
        <v>0.52323840602869687</v>
      </c>
      <c r="D121">
        <v>22.775550704872519</v>
      </c>
      <c r="E121">
        <v>-0.66547797271610964</v>
      </c>
      <c r="F121">
        <v>0.60739618831250786</v>
      </c>
      <c r="G121">
        <v>0.21584148431985481</v>
      </c>
      <c r="H121">
        <v>21.510076287462109</v>
      </c>
      <c r="I121">
        <v>18.71713829040527</v>
      </c>
      <c r="J121">
        <v>20.50288060428354</v>
      </c>
      <c r="K121">
        <v>64.090538024902344</v>
      </c>
      <c r="L121" s="2"/>
    </row>
    <row r="122" spans="1:12" x14ac:dyDescent="0.25">
      <c r="A122" t="s">
        <v>28</v>
      </c>
      <c r="B122">
        <v>0.56859721082854797</v>
      </c>
      <c r="C122">
        <v>0.72497541995272263</v>
      </c>
      <c r="D122">
        <v>25.62763497824389</v>
      </c>
      <c r="E122">
        <v>-0.53512680515169897</v>
      </c>
      <c r="F122">
        <v>0.42805589173726483</v>
      </c>
      <c r="G122">
        <v>1.0186789542832119E-2</v>
      </c>
      <c r="H122">
        <v>6.2394659960834593</v>
      </c>
      <c r="I122">
        <v>2.209002017974854</v>
      </c>
      <c r="J122">
        <v>9.2668494505186008</v>
      </c>
      <c r="K122">
        <v>37.657684326171882</v>
      </c>
      <c r="L122" s="2"/>
    </row>
    <row r="123" spans="1:12" x14ac:dyDescent="0.25">
      <c r="A123" t="s">
        <v>16</v>
      </c>
      <c r="B123">
        <v>0.58941099689998366</v>
      </c>
      <c r="C123">
        <v>0.74167222706975311</v>
      </c>
      <c r="D123">
        <v>30.322344926288899</v>
      </c>
      <c r="E123">
        <v>-0.21824154391007539</v>
      </c>
      <c r="F123">
        <v>0.33129714470822341</v>
      </c>
      <c r="G123">
        <v>0.1674828599412341</v>
      </c>
      <c r="H123">
        <v>3.3868839454119191</v>
      </c>
      <c r="I123">
        <v>1.671875</v>
      </c>
      <c r="J123">
        <v>4.996902697229987</v>
      </c>
      <c r="K123">
        <v>24.30645751953125</v>
      </c>
      <c r="L123" s="2"/>
    </row>
    <row r="124" spans="1:12" x14ac:dyDescent="0.25">
      <c r="A124" t="s">
        <v>6</v>
      </c>
      <c r="B124">
        <v>0.82240741723729138</v>
      </c>
      <c r="C124">
        <v>0.9025505597250405</v>
      </c>
      <c r="D124">
        <v>33.913814495464472</v>
      </c>
      <c r="E124">
        <v>-0.1076147848966475</v>
      </c>
      <c r="F124">
        <v>0.14353366071181789</v>
      </c>
      <c r="G124">
        <v>4.6123852034272231E-2</v>
      </c>
      <c r="H124">
        <v>0.73604734324195764</v>
      </c>
      <c r="I124">
        <v>0.70000076293945313</v>
      </c>
      <c r="J124">
        <v>0.78045107188376239</v>
      </c>
      <c r="K124">
        <v>5.4098753929138184</v>
      </c>
      <c r="L124" s="2"/>
    </row>
    <row r="125" spans="1:12" x14ac:dyDescent="0.25">
      <c r="A125" t="s">
        <v>11</v>
      </c>
      <c r="B125">
        <v>0.8351656525684702</v>
      </c>
      <c r="C125">
        <v>0.91018012613693466</v>
      </c>
      <c r="D125">
        <v>39.791443419874668</v>
      </c>
      <c r="E125">
        <v>-0.14612753125050659</v>
      </c>
      <c r="F125">
        <v>0.15179306645715451</v>
      </c>
      <c r="G125">
        <v>1.807687262232717E-2</v>
      </c>
      <c r="H125">
        <v>0.95649998565967187</v>
      </c>
      <c r="I125">
        <v>0.705078125</v>
      </c>
      <c r="J125">
        <v>1.04216743696254</v>
      </c>
      <c r="K125">
        <v>11.34569644927979</v>
      </c>
      <c r="L125" s="2"/>
    </row>
    <row r="126" spans="1:12" x14ac:dyDescent="0.25">
      <c r="A126" t="s">
        <v>7</v>
      </c>
      <c r="B126">
        <v>0.81746945753736922</v>
      </c>
      <c r="C126">
        <v>0.89956885288737909</v>
      </c>
      <c r="D126">
        <v>41.393146655308392</v>
      </c>
      <c r="E126">
        <v>0.1113666056963679</v>
      </c>
      <c r="F126">
        <v>4.7386479980076918E-2</v>
      </c>
      <c r="G126">
        <v>0.1478800029702235</v>
      </c>
      <c r="H126">
        <v>0.93655532816589682</v>
      </c>
      <c r="I126">
        <v>0.85546875</v>
      </c>
      <c r="J126">
        <v>0.91092342154294315</v>
      </c>
      <c r="K126">
        <v>7.6834979057312012</v>
      </c>
      <c r="L126" s="2"/>
    </row>
    <row r="127" spans="1:12" x14ac:dyDescent="0.25">
      <c r="A127" t="s">
        <v>28</v>
      </c>
      <c r="B127">
        <v>0.30280580201774532</v>
      </c>
      <c r="C127">
        <v>0.46485178612003258</v>
      </c>
      <c r="D127">
        <v>43.86107827680366</v>
      </c>
      <c r="E127">
        <v>-0.89602613624500271</v>
      </c>
      <c r="F127">
        <v>0.67897265822140607</v>
      </c>
      <c r="G127">
        <v>0.1578572620570729</v>
      </c>
      <c r="H127">
        <v>18.099044151144891</v>
      </c>
      <c r="I127">
        <v>2.4697380065917969</v>
      </c>
      <c r="J127">
        <v>25.1049488161817</v>
      </c>
      <c r="K127">
        <v>80.064849853515625</v>
      </c>
      <c r="L127" s="2"/>
    </row>
    <row r="128" spans="1:12" x14ac:dyDescent="0.25">
      <c r="A128" t="s">
        <v>28</v>
      </c>
      <c r="B128">
        <v>0.4317132095494981</v>
      </c>
      <c r="C128">
        <v>0.60307218885734903</v>
      </c>
      <c r="D128">
        <v>58.736808056726453</v>
      </c>
      <c r="E128">
        <v>-0.64814705626356472</v>
      </c>
      <c r="F128">
        <v>0.54453270453321345</v>
      </c>
      <c r="G128">
        <v>0.1077843316440974</v>
      </c>
      <c r="H128">
        <v>18.235042308755052</v>
      </c>
      <c r="I128">
        <v>2.6419498920440669</v>
      </c>
      <c r="J128">
        <v>23.84994918790742</v>
      </c>
      <c r="K128">
        <v>75.886001586914063</v>
      </c>
      <c r="L128" s="2"/>
    </row>
    <row r="129" spans="1:12" x14ac:dyDescent="0.25">
      <c r="A129" t="s">
        <v>11</v>
      </c>
      <c r="B129">
        <v>0.40324630443022452</v>
      </c>
      <c r="C129">
        <v>0.57473346362235245</v>
      </c>
      <c r="D129">
        <v>65.077427606108728</v>
      </c>
      <c r="E129">
        <v>-0.81146543368765589</v>
      </c>
      <c r="F129">
        <v>0.59115025442905489</v>
      </c>
      <c r="G129">
        <v>3.2870427310207638E-2</v>
      </c>
      <c r="H129">
        <v>14.67460666746552</v>
      </c>
      <c r="I129">
        <v>1.567524909973145</v>
      </c>
      <c r="J129">
        <v>19.978659450490571</v>
      </c>
      <c r="K129">
        <v>65.658363342285156</v>
      </c>
      <c r="L129" s="2"/>
    </row>
    <row r="130" spans="1:12" x14ac:dyDescent="0.25">
      <c r="A130" t="s">
        <v>6</v>
      </c>
      <c r="B130">
        <v>0.74412590512782617</v>
      </c>
      <c r="C130">
        <v>0.85329379368777802</v>
      </c>
      <c r="D130">
        <v>70.919561080531352</v>
      </c>
      <c r="E130">
        <v>-0.27328955729718279</v>
      </c>
      <c r="F130">
        <v>0.2492871918152848</v>
      </c>
      <c r="G130">
        <v>1.165386785740573E-2</v>
      </c>
      <c r="H130">
        <v>2.4096858036766631</v>
      </c>
      <c r="I130">
        <v>0.705078125</v>
      </c>
      <c r="J130">
        <v>5.450316139557013</v>
      </c>
      <c r="K130">
        <v>33.380588531494141</v>
      </c>
      <c r="L130" s="2"/>
    </row>
    <row r="131" spans="1:12" x14ac:dyDescent="0.25">
      <c r="A131" t="s">
        <v>11</v>
      </c>
      <c r="B131">
        <v>0.82085710754965424</v>
      </c>
      <c r="C131">
        <v>0.90161617201724298</v>
      </c>
      <c r="D131">
        <v>78.259115351978096</v>
      </c>
      <c r="E131">
        <v>0.1051518115823321</v>
      </c>
      <c r="F131">
        <v>4.8349965418436912E-2</v>
      </c>
      <c r="G131">
        <v>0.1434193324617806</v>
      </c>
      <c r="H131">
        <v>1.1491207192580071</v>
      </c>
      <c r="I131">
        <v>0.70000076293945313</v>
      </c>
      <c r="J131">
        <v>1.74052174738601</v>
      </c>
      <c r="K131">
        <v>11.265007019042971</v>
      </c>
      <c r="L131" s="2"/>
    </row>
    <row r="132" spans="1:12" x14ac:dyDescent="0.25">
      <c r="A132" t="s">
        <v>25</v>
      </c>
      <c r="B132">
        <v>0.84307411581602532</v>
      </c>
      <c r="C132">
        <v>0.91485644400442601</v>
      </c>
      <c r="D132">
        <v>82.451419830322266</v>
      </c>
      <c r="E132">
        <v>5.5116184264166333E-2</v>
      </c>
      <c r="F132">
        <v>5.9217381930553717E-2</v>
      </c>
      <c r="G132">
        <v>0.1096791013477517</v>
      </c>
      <c r="H132">
        <v>0.93908476084744652</v>
      </c>
      <c r="I132">
        <v>0.68359375</v>
      </c>
      <c r="J132">
        <v>1.1503429532811229</v>
      </c>
      <c r="K132">
        <v>8.5094890594482422</v>
      </c>
      <c r="L132" s="2"/>
    </row>
    <row r="133" spans="1:12" x14ac:dyDescent="0.25">
      <c r="A133" t="s">
        <v>11</v>
      </c>
      <c r="B133">
        <v>0.4816711366140668</v>
      </c>
      <c r="C133">
        <v>0.65017280111805065</v>
      </c>
      <c r="D133">
        <v>94.065030434672636</v>
      </c>
      <c r="E133">
        <v>-0.48285248832206817</v>
      </c>
      <c r="F133">
        <v>0.47626948908475619</v>
      </c>
      <c r="G133">
        <v>0.14290100848667811</v>
      </c>
      <c r="H133">
        <v>9.7406543171786009</v>
      </c>
      <c r="I133">
        <v>1.574340224266052</v>
      </c>
      <c r="J133">
        <v>15.214076946088589</v>
      </c>
      <c r="K133">
        <v>52.676624298095703</v>
      </c>
      <c r="L133" s="2"/>
    </row>
    <row r="134" spans="1:12" x14ac:dyDescent="0.25">
      <c r="A134" t="s">
        <v>11</v>
      </c>
      <c r="B134">
        <v>0.35595111913762489</v>
      </c>
      <c r="C134">
        <v>0.52502057649984801</v>
      </c>
      <c r="D134">
        <v>98.314392589555553</v>
      </c>
      <c r="E134">
        <v>-0.7362584766233069</v>
      </c>
      <c r="F134">
        <v>0.61624928274484347</v>
      </c>
      <c r="G134">
        <v>0.16910132841563519</v>
      </c>
      <c r="H134">
        <v>16.718222371836688</v>
      </c>
      <c r="I134">
        <v>2.5365724563598628</v>
      </c>
      <c r="J134">
        <v>22.554888720610649</v>
      </c>
      <c r="K134">
        <v>74.814598083496094</v>
      </c>
      <c r="L134" s="2"/>
    </row>
    <row r="135" spans="1:12" x14ac:dyDescent="0.25">
      <c r="A135" t="s">
        <v>11</v>
      </c>
      <c r="B135">
        <v>0.53423796546888114</v>
      </c>
      <c r="C135">
        <v>0.69642125601501681</v>
      </c>
      <c r="D135">
        <v>128.61428308383589</v>
      </c>
      <c r="E135">
        <v>-0.49347086601976581</v>
      </c>
      <c r="F135">
        <v>0.44140413629400999</v>
      </c>
      <c r="G135">
        <v>7.5462610968459382E-2</v>
      </c>
      <c r="H135">
        <v>12.81671381070807</v>
      </c>
      <c r="I135">
        <v>1.5675196647644041</v>
      </c>
      <c r="J135">
        <v>18.948498612985471</v>
      </c>
      <c r="K135">
        <v>62.310111999511719</v>
      </c>
      <c r="L135" s="2"/>
    </row>
    <row r="136" spans="1:12" x14ac:dyDescent="0.25">
      <c r="A136" t="s">
        <v>11</v>
      </c>
      <c r="B136">
        <v>0.85280664715683563</v>
      </c>
      <c r="C136">
        <v>0.92055654967071976</v>
      </c>
      <c r="D136">
        <v>180.8232180910243</v>
      </c>
      <c r="E136">
        <v>-9.4666246204843138E-2</v>
      </c>
      <c r="F136">
        <v>0.1210470390320158</v>
      </c>
      <c r="G136">
        <v>3.370572443058803E-2</v>
      </c>
      <c r="H136">
        <v>1.693353245227879</v>
      </c>
      <c r="I136">
        <v>0.99355536699295044</v>
      </c>
      <c r="J136">
        <v>2.291857239042701</v>
      </c>
      <c r="K136">
        <v>15.451723098754879</v>
      </c>
      <c r="L136" s="2"/>
    </row>
    <row r="137" spans="1:12" x14ac:dyDescent="0.25">
      <c r="A137" t="s">
        <v>20</v>
      </c>
      <c r="B137">
        <v>0.9132608706576415</v>
      </c>
      <c r="C137">
        <v>0.95466424329655375</v>
      </c>
      <c r="D137">
        <v>224.0138386165971</v>
      </c>
      <c r="E137">
        <v>-5.2608493527027837E-2</v>
      </c>
      <c r="F137">
        <v>6.9803865367291787E-2</v>
      </c>
      <c r="G137">
        <v>1.954564336618814E-2</v>
      </c>
      <c r="H137">
        <v>0.74428550526290904</v>
      </c>
      <c r="I137">
        <v>0</v>
      </c>
      <c r="J137">
        <v>1.0904838034802169</v>
      </c>
      <c r="K137">
        <v>12.644131660461429</v>
      </c>
      <c r="L137" s="2"/>
    </row>
    <row r="138" spans="1:12" x14ac:dyDescent="0.25">
      <c r="A138" t="s">
        <v>5</v>
      </c>
      <c r="B138">
        <v>0.86450553992266665</v>
      </c>
      <c r="C138">
        <v>0.92732954814231705</v>
      </c>
      <c r="D138">
        <v>546.36240539280402</v>
      </c>
      <c r="E138">
        <v>-6.3590966485169945E-2</v>
      </c>
      <c r="F138">
        <v>0.1012467458880192</v>
      </c>
      <c r="G138">
        <v>4.2217287678011597E-2</v>
      </c>
      <c r="H138">
        <v>1.567715186358084</v>
      </c>
      <c r="I138">
        <v>0.98884463310241699</v>
      </c>
      <c r="J138">
        <v>2.152332427908727</v>
      </c>
      <c r="K138">
        <v>17.814054489135739</v>
      </c>
      <c r="L138" s="2"/>
    </row>
    <row r="139" spans="1:12" x14ac:dyDescent="0.25">
      <c r="A139" t="s">
        <v>15</v>
      </c>
      <c r="B139">
        <v>0.80427649824639247</v>
      </c>
      <c r="C139">
        <v>0.89152244573166339</v>
      </c>
      <c r="D139">
        <v>1013.182115935964</v>
      </c>
      <c r="E139">
        <v>-0.1608771375972361</v>
      </c>
      <c r="F139">
        <v>0.17485133215580961</v>
      </c>
      <c r="G139">
        <v>3.0491693668672531E-2</v>
      </c>
      <c r="H139">
        <v>2.3391347237253139</v>
      </c>
      <c r="I139">
        <v>1.5061430931091311</v>
      </c>
      <c r="J139">
        <v>3.499734302326944</v>
      </c>
      <c r="K139">
        <v>39.87457275390625</v>
      </c>
    </row>
  </sheetData>
  <autoFilter ref="A1:K1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3"/>
  <sheetViews>
    <sheetView workbookViewId="0">
      <selection activeCell="I9" sqref="I9:M13"/>
    </sheetView>
  </sheetViews>
  <sheetFormatPr defaultRowHeight="15" x14ac:dyDescent="0.25"/>
  <cols>
    <col min="2" max="2" width="18.42578125" bestFit="1" customWidth="1"/>
    <col min="3" max="3" width="13.7109375" customWidth="1"/>
    <col min="4" max="4" width="10.5703125" bestFit="1" customWidth="1"/>
    <col min="9" max="9" width="15.5703125" bestFit="1" customWidth="1"/>
  </cols>
  <sheetData>
    <row r="2" spans="1:13" x14ac:dyDescent="0.25">
      <c r="B2" s="7"/>
      <c r="C2" s="7"/>
      <c r="D2" s="6" t="s">
        <v>44</v>
      </c>
      <c r="E2" s="6"/>
      <c r="F2" s="6"/>
      <c r="I2" s="6" t="s">
        <v>62</v>
      </c>
      <c r="J2" s="6" t="s">
        <v>61</v>
      </c>
      <c r="K2" s="6" t="s">
        <v>44</v>
      </c>
      <c r="L2" s="6"/>
      <c r="M2" s="6"/>
    </row>
    <row r="3" spans="1:13" x14ac:dyDescent="0.25">
      <c r="A3" s="3" t="s">
        <v>60</v>
      </c>
      <c r="B3" s="7" t="s">
        <v>62</v>
      </c>
      <c r="C3" s="7" t="s">
        <v>61</v>
      </c>
      <c r="D3" s="6" t="s">
        <v>66</v>
      </c>
      <c r="E3" s="6"/>
      <c r="F3" s="6"/>
      <c r="I3" s="6"/>
      <c r="J3" s="6"/>
      <c r="K3" s="7" t="s">
        <v>47</v>
      </c>
      <c r="L3" s="7" t="s">
        <v>48</v>
      </c>
      <c r="M3" s="7" t="s">
        <v>46</v>
      </c>
    </row>
    <row r="4" spans="1:13" x14ac:dyDescent="0.25">
      <c r="A4" s="6" t="s">
        <v>55</v>
      </c>
      <c r="B4" s="7" t="s">
        <v>52</v>
      </c>
      <c r="C4" s="7" t="s">
        <v>49</v>
      </c>
      <c r="D4" s="9">
        <f>AVERAGE('&lt; 1 cc'!A2:A73)</f>
        <v>0.20716447051227782</v>
      </c>
      <c r="E4" s="5">
        <f>MIN('&lt; 1 cc'!A2:A73)</f>
        <v>0</v>
      </c>
      <c r="F4" s="5">
        <f>MAX('&lt; 1 cc'!A2:A73)</f>
        <v>0.82514880952380953</v>
      </c>
      <c r="I4" s="7" t="s">
        <v>52</v>
      </c>
      <c r="J4" s="7" t="s">
        <v>49</v>
      </c>
      <c r="K4" s="10">
        <f>D4</f>
        <v>0.20716447051227782</v>
      </c>
      <c r="L4" s="10">
        <f t="shared" ref="L4:M4" si="0">E4</f>
        <v>0</v>
      </c>
      <c r="M4" s="10">
        <f t="shared" si="0"/>
        <v>0.82514880952380953</v>
      </c>
    </row>
    <row r="5" spans="1:13" x14ac:dyDescent="0.25">
      <c r="A5" s="6"/>
      <c r="B5" s="7" t="s">
        <v>53</v>
      </c>
      <c r="C5" s="7" t="s">
        <v>50</v>
      </c>
      <c r="D5" s="9">
        <f>AVERAGE('1-2 cc'!A74:A89)</f>
        <v>0.53324708585434033</v>
      </c>
      <c r="E5" s="5">
        <f>MIN('1-2 cc'!A74:A89)</f>
        <v>0</v>
      </c>
      <c r="F5" s="5">
        <f>MAX('1-2 cc'!A74:A89)</f>
        <v>0.85437401781037192</v>
      </c>
      <c r="I5" s="7" t="s">
        <v>53</v>
      </c>
      <c r="J5" s="7" t="s">
        <v>50</v>
      </c>
      <c r="K5" s="10">
        <f t="shared" ref="K5:K6" si="1">D5</f>
        <v>0.53324708585434033</v>
      </c>
      <c r="L5" s="10">
        <f t="shared" ref="L5:L6" si="2">E5</f>
        <v>0</v>
      </c>
      <c r="M5" s="10">
        <f t="shared" ref="M5:M6" si="3">F5</f>
        <v>0.85437401781037192</v>
      </c>
    </row>
    <row r="6" spans="1:13" x14ac:dyDescent="0.25">
      <c r="A6" s="6"/>
      <c r="B6" s="7" t="s">
        <v>54</v>
      </c>
      <c r="C6" s="7" t="s">
        <v>51</v>
      </c>
      <c r="D6" s="9">
        <f>AVERAGE('&gt; 2 cc'!A90:A139)</f>
        <v>0.71755109786630611</v>
      </c>
      <c r="E6" s="5">
        <f>MIN('&gt; 2 cc'!A90:A139)</f>
        <v>3.6171500090647181E-3</v>
      </c>
      <c r="F6" s="5">
        <f>MAX('&gt; 2 cc'!A90:A139)</f>
        <v>0.95466424329655375</v>
      </c>
      <c r="I6" s="7" t="s">
        <v>54</v>
      </c>
      <c r="J6" s="7" t="s">
        <v>51</v>
      </c>
      <c r="K6" s="10">
        <f t="shared" si="1"/>
        <v>0.71755109786630611</v>
      </c>
      <c r="L6" s="10">
        <f t="shared" si="2"/>
        <v>3.6171500090647181E-3</v>
      </c>
      <c r="M6" s="10">
        <f t="shared" si="3"/>
        <v>0.95466424329655375</v>
      </c>
    </row>
    <row r="7" spans="1:13" x14ac:dyDescent="0.25">
      <c r="A7" s="6" t="s">
        <v>56</v>
      </c>
      <c r="B7" s="7" t="s">
        <v>63</v>
      </c>
      <c r="C7" s="7" t="s">
        <v>57</v>
      </c>
      <c r="D7" s="8">
        <v>0.14000000000000001</v>
      </c>
    </row>
    <row r="8" spans="1:13" x14ac:dyDescent="0.25">
      <c r="A8" s="6"/>
      <c r="B8" s="7" t="s">
        <v>64</v>
      </c>
      <c r="C8" s="7" t="s">
        <v>58</v>
      </c>
      <c r="D8" s="8">
        <v>0.53</v>
      </c>
    </row>
    <row r="9" spans="1:13" x14ac:dyDescent="0.25">
      <c r="A9" s="6"/>
      <c r="B9" s="7" t="s">
        <v>65</v>
      </c>
      <c r="C9" s="7" t="s">
        <v>59</v>
      </c>
      <c r="D9" s="8">
        <v>0.68</v>
      </c>
      <c r="I9" s="6" t="s">
        <v>62</v>
      </c>
      <c r="J9" s="6" t="s">
        <v>61</v>
      </c>
      <c r="K9" s="6" t="s">
        <v>67</v>
      </c>
      <c r="L9" s="6"/>
      <c r="M9" s="6"/>
    </row>
    <row r="10" spans="1:13" x14ac:dyDescent="0.25">
      <c r="I10" s="6"/>
      <c r="J10" s="6"/>
      <c r="K10" s="7" t="s">
        <v>47</v>
      </c>
      <c r="L10" s="7" t="s">
        <v>48</v>
      </c>
      <c r="M10" s="7" t="s">
        <v>46</v>
      </c>
    </row>
    <row r="11" spans="1:13" x14ac:dyDescent="0.25">
      <c r="I11" s="7" t="s">
        <v>52</v>
      </c>
      <c r="J11" s="7" t="s">
        <v>49</v>
      </c>
      <c r="K11" s="10">
        <f>AVERAGE(Sheet1!H2:H73)</f>
        <v>27.560753761137185</v>
      </c>
      <c r="L11" s="10">
        <f>MIN(Sheet1!H2:H73)</f>
        <v>0.30058639787972352</v>
      </c>
      <c r="M11" s="10">
        <f>MAX(Sheet1!H2:H73)</f>
        <v>132.9217224121094</v>
      </c>
    </row>
    <row r="12" spans="1:13" x14ac:dyDescent="0.25">
      <c r="I12" s="7" t="s">
        <v>53</v>
      </c>
      <c r="J12" s="7" t="s">
        <v>50</v>
      </c>
      <c r="K12" s="10">
        <f>AVERAGE(Sheet1!H74:H89)</f>
        <v>8.7578214362034217</v>
      </c>
      <c r="L12" s="10">
        <f>MIN(Sheet1!H74:H89)</f>
        <v>0.39987170892561269</v>
      </c>
      <c r="M12" s="10">
        <f>MAX(Sheet1!H74:H89)</f>
        <v>57.246025085449219</v>
      </c>
    </row>
    <row r="13" spans="1:13" x14ac:dyDescent="0.25">
      <c r="I13" s="7" t="s">
        <v>54</v>
      </c>
      <c r="J13" s="7" t="s">
        <v>51</v>
      </c>
      <c r="K13" s="10">
        <f>AVERAGE(Sheet1!H90:H139)</f>
        <v>7.9814426803331093</v>
      </c>
      <c r="L13" s="10">
        <f>MIN(Sheet1!H90:H139)</f>
        <v>0.40490974092408671</v>
      </c>
      <c r="M13" s="10">
        <f>MAX(Sheet1!H90:H139)</f>
        <v>103.38479489681799</v>
      </c>
    </row>
  </sheetData>
  <mergeCells count="10">
    <mergeCell ref="I9:I10"/>
    <mergeCell ref="J9:J10"/>
    <mergeCell ref="K9:M9"/>
    <mergeCell ref="D2:F2"/>
    <mergeCell ref="A4:A6"/>
    <mergeCell ref="A7:A9"/>
    <mergeCell ref="D3:F3"/>
    <mergeCell ref="K2:M2"/>
    <mergeCell ref="I2:I3"/>
    <mergeCell ref="J2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43"/>
  <sheetViews>
    <sheetView topLeftCell="A56" workbookViewId="0">
      <selection activeCell="A144" sqref="A144"/>
    </sheetView>
  </sheetViews>
  <sheetFormatPr defaultRowHeight="15" x14ac:dyDescent="0.25"/>
  <sheetData>
    <row r="1" spans="1:2" x14ac:dyDescent="0.25">
      <c r="A1" s="1" t="s">
        <v>31</v>
      </c>
      <c r="B1" s="1" t="s">
        <v>32</v>
      </c>
    </row>
    <row r="2" spans="1:2" x14ac:dyDescent="0.25">
      <c r="A2">
        <v>0</v>
      </c>
      <c r="B2">
        <v>3.47994607721148E-4</v>
      </c>
    </row>
    <row r="3" spans="1:2" x14ac:dyDescent="0.25">
      <c r="A3">
        <v>0</v>
      </c>
      <c r="B3">
        <v>3.47994607721148E-4</v>
      </c>
    </row>
    <row r="4" spans="1:2" x14ac:dyDescent="0.25">
      <c r="A4">
        <v>0</v>
      </c>
      <c r="B4">
        <v>3.47994607721148E-4</v>
      </c>
    </row>
    <row r="5" spans="1:2" x14ac:dyDescent="0.25">
      <c r="A5">
        <v>0</v>
      </c>
      <c r="B5">
        <v>4.5234000060077049E-4</v>
      </c>
    </row>
    <row r="6" spans="1:2" x14ac:dyDescent="0.25">
      <c r="A6">
        <v>2.2004378871395409E-5</v>
      </c>
      <c r="B6">
        <v>4.8796882991381939E-4</v>
      </c>
    </row>
    <row r="7" spans="1:2" x14ac:dyDescent="0.25">
      <c r="A7">
        <v>0</v>
      </c>
      <c r="B7">
        <v>5.9217834472656246E-4</v>
      </c>
    </row>
    <row r="8" spans="1:2" x14ac:dyDescent="0.25">
      <c r="A8">
        <v>0</v>
      </c>
      <c r="B8">
        <v>5.9217834472656246E-4</v>
      </c>
    </row>
    <row r="9" spans="1:2" x14ac:dyDescent="0.25">
      <c r="A9">
        <v>0</v>
      </c>
      <c r="B9">
        <v>5.9217834472656246E-4</v>
      </c>
    </row>
    <row r="10" spans="1:2" x14ac:dyDescent="0.25">
      <c r="A10">
        <v>0</v>
      </c>
      <c r="B10">
        <v>6.7291259765625002E-4</v>
      </c>
    </row>
    <row r="11" spans="1:2" x14ac:dyDescent="0.25">
      <c r="A11">
        <v>0</v>
      </c>
      <c r="B11">
        <v>1.776535034179688E-3</v>
      </c>
    </row>
    <row r="12" spans="1:2" x14ac:dyDescent="0.25">
      <c r="A12">
        <v>1.969815855047817E-5</v>
      </c>
      <c r="B12">
        <v>1.172483547217981E-2</v>
      </c>
    </row>
    <row r="13" spans="1:2" x14ac:dyDescent="0.25">
      <c r="A13">
        <v>0</v>
      </c>
      <c r="B13">
        <v>1.538050943054259E-2</v>
      </c>
    </row>
    <row r="14" spans="1:2" x14ac:dyDescent="0.25">
      <c r="A14">
        <v>0</v>
      </c>
      <c r="B14">
        <v>2.1560790338435259E-2</v>
      </c>
    </row>
    <row r="15" spans="1:2" x14ac:dyDescent="0.25">
      <c r="A15">
        <v>0</v>
      </c>
      <c r="B15">
        <v>4.248741434306158E-2</v>
      </c>
    </row>
    <row r="16" spans="1:2" x14ac:dyDescent="0.25">
      <c r="A16">
        <v>0</v>
      </c>
      <c r="B16">
        <v>4.722839788419151E-2</v>
      </c>
    </row>
    <row r="17" spans="1:2" x14ac:dyDescent="0.25">
      <c r="A17">
        <v>0</v>
      </c>
      <c r="B17">
        <v>5.2440184653823961E-2</v>
      </c>
    </row>
    <row r="18" spans="1:2" x14ac:dyDescent="0.25">
      <c r="A18">
        <v>0</v>
      </c>
      <c r="B18">
        <v>6.0105821345938323E-2</v>
      </c>
    </row>
    <row r="19" spans="1:2" x14ac:dyDescent="0.25">
      <c r="A19">
        <v>0</v>
      </c>
      <c r="B19">
        <v>6.878505606437102E-2</v>
      </c>
    </row>
    <row r="20" spans="1:2" x14ac:dyDescent="0.25">
      <c r="A20">
        <v>0</v>
      </c>
      <c r="B20">
        <v>8.9388144565754432E-2</v>
      </c>
    </row>
    <row r="21" spans="1:2" x14ac:dyDescent="0.25">
      <c r="A21">
        <v>0</v>
      </c>
      <c r="B21">
        <v>9.0734619140625E-2</v>
      </c>
    </row>
    <row r="22" spans="1:2" x14ac:dyDescent="0.25">
      <c r="A22">
        <v>0</v>
      </c>
      <c r="B22">
        <v>9.3992002075538039E-2</v>
      </c>
    </row>
    <row r="23" spans="1:2" x14ac:dyDescent="0.25">
      <c r="A23">
        <v>0</v>
      </c>
      <c r="B23">
        <v>9.5552844190978869E-2</v>
      </c>
    </row>
    <row r="24" spans="1:2" x14ac:dyDescent="0.25">
      <c r="A24">
        <v>0</v>
      </c>
      <c r="B24">
        <v>0.1118069816846682</v>
      </c>
    </row>
    <row r="25" spans="1:2" x14ac:dyDescent="0.25">
      <c r="A25">
        <v>0.1414364640883978</v>
      </c>
      <c r="B25">
        <v>0.13870574156755</v>
      </c>
    </row>
    <row r="26" spans="1:2" x14ac:dyDescent="0.25">
      <c r="A26">
        <v>0.81433224755700329</v>
      </c>
      <c r="B26">
        <v>0.15092553236904679</v>
      </c>
    </row>
    <row r="27" spans="1:2" x14ac:dyDescent="0.25">
      <c r="A27">
        <v>0</v>
      </c>
      <c r="B27">
        <v>0.16106811264762649</v>
      </c>
    </row>
    <row r="28" spans="1:2" x14ac:dyDescent="0.25">
      <c r="A28">
        <v>0</v>
      </c>
      <c r="B28">
        <v>0.16193155978525681</v>
      </c>
    </row>
    <row r="29" spans="1:2" x14ac:dyDescent="0.25">
      <c r="A29">
        <v>0</v>
      </c>
      <c r="B29">
        <v>0.1646517602186805</v>
      </c>
    </row>
    <row r="30" spans="1:2" x14ac:dyDescent="0.25">
      <c r="A30">
        <v>0</v>
      </c>
      <c r="B30">
        <v>0.1691856037359685</v>
      </c>
    </row>
    <row r="31" spans="1:2" x14ac:dyDescent="0.25">
      <c r="A31">
        <v>2.58313677497491E-3</v>
      </c>
      <c r="B31">
        <v>0.17274096578949211</v>
      </c>
    </row>
    <row r="32" spans="1:2" x14ac:dyDescent="0.25">
      <c r="A32">
        <v>0</v>
      </c>
      <c r="B32">
        <v>0.1794392766896635</v>
      </c>
    </row>
    <row r="33" spans="1:2" x14ac:dyDescent="0.25">
      <c r="A33">
        <v>2.67598179316185E-3</v>
      </c>
      <c r="B33">
        <v>0.186404093027079</v>
      </c>
    </row>
    <row r="34" spans="1:2" x14ac:dyDescent="0.25">
      <c r="A34">
        <v>0.64478311840562719</v>
      </c>
      <c r="B34">
        <v>0.18891359153676601</v>
      </c>
    </row>
    <row r="35" spans="1:2" x14ac:dyDescent="0.25">
      <c r="A35">
        <v>0.54634146341463419</v>
      </c>
      <c r="B35">
        <v>0.18926571327028799</v>
      </c>
    </row>
    <row r="36" spans="1:2" x14ac:dyDescent="0.25">
      <c r="A36">
        <v>0</v>
      </c>
      <c r="B36">
        <v>0.19897192382812501</v>
      </c>
    </row>
    <row r="37" spans="1:2" x14ac:dyDescent="0.25">
      <c r="A37">
        <v>0</v>
      </c>
      <c r="B37">
        <v>0.20343508763240661</v>
      </c>
    </row>
    <row r="38" spans="1:2" x14ac:dyDescent="0.25">
      <c r="A38">
        <v>0.79306071871127626</v>
      </c>
      <c r="B38">
        <v>0.21003428292216089</v>
      </c>
    </row>
    <row r="39" spans="1:2" x14ac:dyDescent="0.25">
      <c r="A39">
        <v>0.48259587020648981</v>
      </c>
      <c r="B39">
        <v>0.2322232627868652</v>
      </c>
    </row>
    <row r="40" spans="1:2" x14ac:dyDescent="0.25">
      <c r="A40">
        <v>0</v>
      </c>
      <c r="B40">
        <v>0.25583503444681438</v>
      </c>
    </row>
    <row r="41" spans="1:2" x14ac:dyDescent="0.25">
      <c r="A41">
        <v>0</v>
      </c>
      <c r="B41">
        <v>0.27124678350987552</v>
      </c>
    </row>
    <row r="42" spans="1:2" x14ac:dyDescent="0.25">
      <c r="A42">
        <v>0</v>
      </c>
      <c r="B42">
        <v>0.27343127876520162</v>
      </c>
    </row>
    <row r="43" spans="1:2" x14ac:dyDescent="0.25">
      <c r="A43">
        <v>0</v>
      </c>
      <c r="B43">
        <v>0.32518790523058938</v>
      </c>
    </row>
    <row r="44" spans="1:2" x14ac:dyDescent="0.25">
      <c r="A44">
        <v>0.58663148636763418</v>
      </c>
      <c r="B44">
        <v>0.3425770020440268</v>
      </c>
    </row>
    <row r="45" spans="1:2" x14ac:dyDescent="0.25">
      <c r="A45">
        <v>0</v>
      </c>
      <c r="B45">
        <v>0.36528709897538653</v>
      </c>
    </row>
    <row r="46" spans="1:2" x14ac:dyDescent="0.25">
      <c r="A46">
        <v>4.2944759344500658E-3</v>
      </c>
      <c r="B46">
        <v>0.38549537563191738</v>
      </c>
    </row>
    <row r="47" spans="1:2" x14ac:dyDescent="0.25">
      <c r="A47">
        <v>0</v>
      </c>
      <c r="B47">
        <v>0.3969025905826129</v>
      </c>
    </row>
    <row r="48" spans="1:2" x14ac:dyDescent="0.25">
      <c r="A48">
        <v>1.1899643598038731E-3</v>
      </c>
      <c r="B48">
        <v>0.43224251107053541</v>
      </c>
    </row>
    <row r="49" spans="1:2" x14ac:dyDescent="0.25">
      <c r="A49">
        <v>0.60094786729857819</v>
      </c>
      <c r="B49">
        <v>0.44324707936275048</v>
      </c>
    </row>
    <row r="50" spans="1:2" x14ac:dyDescent="0.25">
      <c r="A50">
        <v>0</v>
      </c>
      <c r="B50">
        <v>0.44880064668510478</v>
      </c>
    </row>
    <row r="51" spans="1:2" x14ac:dyDescent="0.25">
      <c r="A51">
        <v>0.57268528700241916</v>
      </c>
      <c r="B51">
        <v>0.45311883187441709</v>
      </c>
    </row>
    <row r="52" spans="1:2" x14ac:dyDescent="0.25">
      <c r="A52">
        <v>0.2201885745978924</v>
      </c>
      <c r="B52">
        <v>0.47315049743652338</v>
      </c>
    </row>
    <row r="53" spans="1:2" x14ac:dyDescent="0.25">
      <c r="A53">
        <v>0.6632177961717538</v>
      </c>
      <c r="B53">
        <v>0.49257202148437501</v>
      </c>
    </row>
    <row r="54" spans="1:2" x14ac:dyDescent="0.25">
      <c r="A54">
        <v>1.676082641327711E-3</v>
      </c>
      <c r="B54">
        <v>0.50342734266409939</v>
      </c>
    </row>
    <row r="55" spans="1:2" x14ac:dyDescent="0.25">
      <c r="A55">
        <v>0</v>
      </c>
      <c r="B55">
        <v>0.52253589341277251</v>
      </c>
    </row>
    <row r="56" spans="1:2" x14ac:dyDescent="0.25">
      <c r="A56">
        <v>0.38146406984553388</v>
      </c>
      <c r="B56">
        <v>0.53718505859374999</v>
      </c>
    </row>
    <row r="57" spans="1:2" x14ac:dyDescent="0.25">
      <c r="A57">
        <v>0</v>
      </c>
      <c r="B57">
        <v>0.54403474192605716</v>
      </c>
    </row>
    <row r="58" spans="1:2" x14ac:dyDescent="0.25">
      <c r="A58">
        <v>0.62897327707454287</v>
      </c>
      <c r="B58">
        <v>0.58119242605705446</v>
      </c>
    </row>
    <row r="59" spans="1:2" x14ac:dyDescent="0.25">
      <c r="A59">
        <v>0</v>
      </c>
      <c r="B59">
        <v>0.58776289244101898</v>
      </c>
    </row>
    <row r="60" spans="1:2" x14ac:dyDescent="0.25">
      <c r="A60">
        <v>0.75191475191475188</v>
      </c>
      <c r="B60">
        <v>0.64381248543020508</v>
      </c>
    </row>
    <row r="61" spans="1:2" x14ac:dyDescent="0.25">
      <c r="A61">
        <v>0.12253829321663021</v>
      </c>
      <c r="B61">
        <v>0.65654051008640313</v>
      </c>
    </row>
    <row r="62" spans="1:2" x14ac:dyDescent="0.25">
      <c r="A62">
        <v>0.45488441461595819</v>
      </c>
      <c r="B62">
        <v>0.694610595703125</v>
      </c>
    </row>
    <row r="63" spans="1:2" x14ac:dyDescent="0.25">
      <c r="A63">
        <v>0.63703703703703707</v>
      </c>
      <c r="B63">
        <v>0.70133470329473679</v>
      </c>
    </row>
    <row r="64" spans="1:2" x14ac:dyDescent="0.25">
      <c r="A64">
        <v>0.77898158179848331</v>
      </c>
      <c r="B64">
        <v>0.74327046689104459</v>
      </c>
    </row>
    <row r="65" spans="1:2" x14ac:dyDescent="0.25">
      <c r="A65">
        <v>0.82514880952380953</v>
      </c>
      <c r="B65">
        <v>0.76577453613281254</v>
      </c>
    </row>
    <row r="66" spans="1:2" x14ac:dyDescent="0.25">
      <c r="A66">
        <v>0.66018631024706365</v>
      </c>
      <c r="B66">
        <v>0.7996314277648926</v>
      </c>
    </row>
    <row r="67" spans="1:2" x14ac:dyDescent="0.25">
      <c r="A67">
        <v>0.66044670624823298</v>
      </c>
      <c r="B67">
        <v>0.8074951171875</v>
      </c>
    </row>
    <row r="68" spans="1:2" x14ac:dyDescent="0.25">
      <c r="A68">
        <v>0</v>
      </c>
      <c r="B68">
        <v>0.8337756243116059</v>
      </c>
    </row>
    <row r="69" spans="1:2" x14ac:dyDescent="0.25">
      <c r="A69">
        <v>0.56952256376716803</v>
      </c>
      <c r="B69">
        <v>0.84075497225429352</v>
      </c>
    </row>
    <row r="70" spans="1:2" x14ac:dyDescent="0.25">
      <c r="A70">
        <v>0</v>
      </c>
      <c r="B70">
        <v>0.86771707370644435</v>
      </c>
    </row>
    <row r="71" spans="1:2" x14ac:dyDescent="0.25">
      <c r="A71">
        <v>0.79491017964071864</v>
      </c>
      <c r="B71">
        <v>0.91938029098510743</v>
      </c>
    </row>
    <row r="72" spans="1:2" x14ac:dyDescent="0.25">
      <c r="A72">
        <v>0.80587833219412175</v>
      </c>
      <c r="B72">
        <v>0.94947967529296873</v>
      </c>
    </row>
    <row r="73" spans="1:2" x14ac:dyDescent="0.25">
      <c r="A73">
        <v>0.76527331189710612</v>
      </c>
      <c r="B73">
        <v>0.96465852355957027</v>
      </c>
    </row>
    <row r="74" spans="1:2" hidden="1" x14ac:dyDescent="0.25">
      <c r="A74">
        <v>0.50141862264637604</v>
      </c>
      <c r="B74">
        <v>1.0084883731758869</v>
      </c>
    </row>
    <row r="75" spans="1:2" hidden="1" x14ac:dyDescent="0.25">
      <c r="A75">
        <v>0.85437401781037192</v>
      </c>
      <c r="B75">
        <v>1.0132171478271479</v>
      </c>
    </row>
    <row r="76" spans="1:2" hidden="1" x14ac:dyDescent="0.25">
      <c r="A76">
        <v>0.80284926470588225</v>
      </c>
      <c r="B76">
        <v>1.017305763244629</v>
      </c>
    </row>
    <row r="77" spans="1:2" hidden="1" x14ac:dyDescent="0.25">
      <c r="A77">
        <v>0.78340517241379304</v>
      </c>
      <c r="B77">
        <v>1.0486073269359619</v>
      </c>
    </row>
    <row r="78" spans="1:2" hidden="1" x14ac:dyDescent="0.25">
      <c r="A78">
        <v>0.83618046430135795</v>
      </c>
      <c r="B78">
        <v>1.1375683593749999</v>
      </c>
    </row>
    <row r="79" spans="1:2" hidden="1" x14ac:dyDescent="0.25">
      <c r="A79">
        <v>0</v>
      </c>
      <c r="B79">
        <v>1.280122201700181</v>
      </c>
    </row>
    <row r="80" spans="1:2" hidden="1" x14ac:dyDescent="0.25">
      <c r="A80">
        <v>5.9644141788256888E-2</v>
      </c>
      <c r="B80">
        <v>1.365824754928781</v>
      </c>
    </row>
    <row r="81" spans="1:2" hidden="1" x14ac:dyDescent="0.25">
      <c r="A81">
        <v>0.4335851432168713</v>
      </c>
      <c r="B81">
        <v>1.4620907249450681</v>
      </c>
    </row>
    <row r="82" spans="1:2" hidden="1" x14ac:dyDescent="0.25">
      <c r="A82">
        <v>0.68614718614718606</v>
      </c>
      <c r="B82">
        <v>1.5348049303986271</v>
      </c>
    </row>
    <row r="83" spans="1:2" hidden="1" x14ac:dyDescent="0.25">
      <c r="A83">
        <v>0.82569351728230234</v>
      </c>
      <c r="B83">
        <v>1.5590632438659671</v>
      </c>
    </row>
    <row r="84" spans="1:2" hidden="1" x14ac:dyDescent="0.25">
      <c r="A84">
        <v>0.4578651685393258</v>
      </c>
      <c r="B84">
        <v>1.569270088033677</v>
      </c>
    </row>
    <row r="85" spans="1:2" hidden="1" x14ac:dyDescent="0.25">
      <c r="A85">
        <v>0.7622127659574468</v>
      </c>
      <c r="B85">
        <v>1.5867272949218749</v>
      </c>
    </row>
    <row r="86" spans="1:2" hidden="1" x14ac:dyDescent="0.25">
      <c r="A86">
        <v>0.76496534341524891</v>
      </c>
      <c r="B86">
        <v>1.6504141091718341</v>
      </c>
    </row>
    <row r="87" spans="1:2" hidden="1" x14ac:dyDescent="0.25">
      <c r="A87">
        <v>0</v>
      </c>
      <c r="B87">
        <v>1.7569393931889661</v>
      </c>
    </row>
    <row r="88" spans="1:2" hidden="1" x14ac:dyDescent="0.25">
      <c r="A88">
        <v>0.7636125654450262</v>
      </c>
      <c r="B88">
        <v>1.880267277883831</v>
      </c>
    </row>
    <row r="89" spans="1:2" hidden="1" x14ac:dyDescent="0.25">
      <c r="A89">
        <v>0</v>
      </c>
      <c r="B89">
        <v>1.968387241934852</v>
      </c>
    </row>
    <row r="90" spans="1:2" hidden="1" x14ac:dyDescent="0.25">
      <c r="A90">
        <v>0.69629629629629619</v>
      </c>
      <c r="B90">
        <v>2.0074435347929058</v>
      </c>
    </row>
    <row r="91" spans="1:2" hidden="1" x14ac:dyDescent="0.25">
      <c r="A91">
        <v>0.75311773409427185</v>
      </c>
      <c r="B91">
        <v>2.0201086978212639</v>
      </c>
    </row>
    <row r="92" spans="1:2" hidden="1" x14ac:dyDescent="0.25">
      <c r="A92">
        <v>0.80961923847695394</v>
      </c>
      <c r="B92">
        <v>2.1090862454153321</v>
      </c>
    </row>
    <row r="93" spans="1:2" hidden="1" x14ac:dyDescent="0.25">
      <c r="A93">
        <v>0.66247002398081534</v>
      </c>
      <c r="B93">
        <v>2.1873331953099879</v>
      </c>
    </row>
    <row r="94" spans="1:2" hidden="1" x14ac:dyDescent="0.25">
      <c r="A94">
        <v>0.45059786028949023</v>
      </c>
      <c r="B94">
        <v>2.277315440484502</v>
      </c>
    </row>
    <row r="95" spans="1:2" hidden="1" x14ac:dyDescent="0.25">
      <c r="A95">
        <v>0.86512134411947728</v>
      </c>
      <c r="B95">
        <v>2.3044202923294419</v>
      </c>
    </row>
    <row r="96" spans="1:2" hidden="1" x14ac:dyDescent="0.25">
      <c r="A96">
        <v>0.7926239049194389</v>
      </c>
      <c r="B96">
        <v>2.322864006538663</v>
      </c>
    </row>
    <row r="97" spans="1:2" hidden="1" x14ac:dyDescent="0.25">
      <c r="A97">
        <v>0.83629740732804803</v>
      </c>
      <c r="B97">
        <v>2.3640656738281249</v>
      </c>
    </row>
    <row r="98" spans="1:2" hidden="1" x14ac:dyDescent="0.25">
      <c r="A98">
        <v>3.6171500090647181E-3</v>
      </c>
      <c r="B98">
        <v>2.4179216262628569</v>
      </c>
    </row>
    <row r="99" spans="1:2" hidden="1" x14ac:dyDescent="0.25">
      <c r="A99">
        <v>0.82284776701020357</v>
      </c>
      <c r="B99">
        <v>2.8076204950942221</v>
      </c>
    </row>
    <row r="100" spans="1:2" hidden="1" x14ac:dyDescent="0.25">
      <c r="A100">
        <v>0.80838951310861429</v>
      </c>
      <c r="B100">
        <v>2.8429442117679629</v>
      </c>
    </row>
    <row r="101" spans="1:2" hidden="1" x14ac:dyDescent="0.25">
      <c r="A101">
        <v>0.7318916405069178</v>
      </c>
      <c r="B101">
        <v>2.9797701385886279</v>
      </c>
    </row>
    <row r="102" spans="1:2" hidden="1" x14ac:dyDescent="0.25">
      <c r="A102">
        <v>0.86034273377411963</v>
      </c>
      <c r="B102">
        <v>3.6552238464355469</v>
      </c>
    </row>
    <row r="103" spans="1:2" hidden="1" x14ac:dyDescent="0.25">
      <c r="A103">
        <v>0.739162836914669</v>
      </c>
      <c r="B103">
        <v>3.9186172485351558</v>
      </c>
    </row>
    <row r="104" spans="1:2" hidden="1" x14ac:dyDescent="0.25">
      <c r="A104">
        <v>0.72796242774566466</v>
      </c>
      <c r="B104">
        <v>4.1176336343413578</v>
      </c>
    </row>
    <row r="105" spans="1:2" hidden="1" x14ac:dyDescent="0.25">
      <c r="A105">
        <v>0.1340282261783968</v>
      </c>
      <c r="B105">
        <v>4.3050085505983207</v>
      </c>
    </row>
    <row r="106" spans="1:2" hidden="1" x14ac:dyDescent="0.25">
      <c r="A106">
        <v>0.82415730337078652</v>
      </c>
      <c r="B106">
        <v>4.3844884643554689</v>
      </c>
    </row>
    <row r="107" spans="1:2" hidden="1" x14ac:dyDescent="0.25">
      <c r="A107">
        <v>0.83463555603125339</v>
      </c>
      <c r="B107">
        <v>4.4016100845336918</v>
      </c>
    </row>
    <row r="108" spans="1:2" hidden="1" x14ac:dyDescent="0.25">
      <c r="A108">
        <v>0.81481033335349984</v>
      </c>
      <c r="B108">
        <v>4.6222366333007816</v>
      </c>
    </row>
    <row r="109" spans="1:2" hidden="1" x14ac:dyDescent="0.25">
      <c r="A109">
        <v>0.60500658761528325</v>
      </c>
      <c r="B109">
        <v>5.9505103338146252</v>
      </c>
    </row>
    <row r="110" spans="1:2" hidden="1" x14ac:dyDescent="0.25">
      <c r="A110">
        <v>0.12815972561103131</v>
      </c>
      <c r="B110">
        <v>6.4681757737129777</v>
      </c>
    </row>
    <row r="111" spans="1:2" hidden="1" x14ac:dyDescent="0.25">
      <c r="A111">
        <v>0.74628092995439943</v>
      </c>
      <c r="B111">
        <v>6.6688258646764904</v>
      </c>
    </row>
    <row r="112" spans="1:2" hidden="1" x14ac:dyDescent="0.25">
      <c r="A112">
        <v>0.89073581560283688</v>
      </c>
      <c r="B112">
        <v>7.3344513791107824</v>
      </c>
    </row>
    <row r="113" spans="1:2" hidden="1" x14ac:dyDescent="0.25">
      <c r="A113">
        <v>0.85834478021978022</v>
      </c>
      <c r="B113">
        <v>9.0544025745484014</v>
      </c>
    </row>
    <row r="114" spans="1:2" hidden="1" x14ac:dyDescent="0.25">
      <c r="A114">
        <v>0.8494561239684022</v>
      </c>
      <c r="B114">
        <v>10.019065414428709</v>
      </c>
    </row>
    <row r="115" spans="1:2" hidden="1" x14ac:dyDescent="0.25">
      <c r="A115">
        <v>0.86707869798104653</v>
      </c>
      <c r="B115">
        <v>10.70267486572266</v>
      </c>
    </row>
    <row r="116" spans="1:2" hidden="1" x14ac:dyDescent="0.25">
      <c r="A116">
        <v>0.83874243028610795</v>
      </c>
      <c r="B116">
        <v>10.779132974162559</v>
      </c>
    </row>
    <row r="117" spans="1:2" hidden="1" x14ac:dyDescent="0.25">
      <c r="A117">
        <v>1.760685577452813E-2</v>
      </c>
      <c r="B117">
        <v>10.815509343337411</v>
      </c>
    </row>
    <row r="118" spans="1:2" hidden="1" x14ac:dyDescent="0.25">
      <c r="A118">
        <v>0.57110417258018731</v>
      </c>
      <c r="B118">
        <v>13.05588943734004</v>
      </c>
    </row>
    <row r="119" spans="1:2" hidden="1" x14ac:dyDescent="0.25">
      <c r="A119">
        <v>0.87139739634283997</v>
      </c>
      <c r="B119">
        <v>13.18580473327637</v>
      </c>
    </row>
    <row r="120" spans="1:2" hidden="1" x14ac:dyDescent="0.25">
      <c r="A120">
        <v>0.88535521928699668</v>
      </c>
      <c r="B120">
        <v>14.51276712040276</v>
      </c>
    </row>
    <row r="121" spans="1:2" hidden="1" x14ac:dyDescent="0.25">
      <c r="A121">
        <v>0.52323840602869687</v>
      </c>
      <c r="B121">
        <v>22.775550704872519</v>
      </c>
    </row>
    <row r="122" spans="1:2" hidden="1" x14ac:dyDescent="0.25">
      <c r="A122">
        <v>0.72497541995272263</v>
      </c>
      <c r="B122">
        <v>25.62763497824389</v>
      </c>
    </row>
    <row r="123" spans="1:2" hidden="1" x14ac:dyDescent="0.25">
      <c r="A123">
        <v>0.74167222706975311</v>
      </c>
      <c r="B123">
        <v>30.322344926288899</v>
      </c>
    </row>
    <row r="124" spans="1:2" hidden="1" x14ac:dyDescent="0.25">
      <c r="A124">
        <v>0.9025505597250405</v>
      </c>
      <c r="B124">
        <v>33.913814495464472</v>
      </c>
    </row>
    <row r="125" spans="1:2" hidden="1" x14ac:dyDescent="0.25">
      <c r="A125">
        <v>0.91018012613693466</v>
      </c>
      <c r="B125">
        <v>39.791443419874668</v>
      </c>
    </row>
    <row r="126" spans="1:2" hidden="1" x14ac:dyDescent="0.25">
      <c r="A126">
        <v>0.89956885288737909</v>
      </c>
      <c r="B126">
        <v>41.393146655308392</v>
      </c>
    </row>
    <row r="127" spans="1:2" hidden="1" x14ac:dyDescent="0.25">
      <c r="A127">
        <v>0.46485178612003258</v>
      </c>
      <c r="B127">
        <v>43.86107827680366</v>
      </c>
    </row>
    <row r="128" spans="1:2" hidden="1" x14ac:dyDescent="0.25">
      <c r="A128">
        <v>0.60307218885734903</v>
      </c>
      <c r="B128">
        <v>58.736808056726453</v>
      </c>
    </row>
    <row r="129" spans="1:2" hidden="1" x14ac:dyDescent="0.25">
      <c r="A129">
        <v>0.57473346362235245</v>
      </c>
      <c r="B129">
        <v>65.077427606108728</v>
      </c>
    </row>
    <row r="130" spans="1:2" hidden="1" x14ac:dyDescent="0.25">
      <c r="A130">
        <v>0.85329379368777802</v>
      </c>
      <c r="B130">
        <v>70.919561080531352</v>
      </c>
    </row>
    <row r="131" spans="1:2" hidden="1" x14ac:dyDescent="0.25">
      <c r="A131">
        <v>0.90161617201724298</v>
      </c>
      <c r="B131">
        <v>78.259115351978096</v>
      </c>
    </row>
    <row r="132" spans="1:2" hidden="1" x14ac:dyDescent="0.25">
      <c r="A132">
        <v>0.91485644400442601</v>
      </c>
      <c r="B132">
        <v>82.451419830322266</v>
      </c>
    </row>
    <row r="133" spans="1:2" hidden="1" x14ac:dyDescent="0.25">
      <c r="A133">
        <v>0.65017280111805065</v>
      </c>
      <c r="B133">
        <v>94.065030434672636</v>
      </c>
    </row>
    <row r="134" spans="1:2" hidden="1" x14ac:dyDescent="0.25">
      <c r="A134">
        <v>0.52502057649984801</v>
      </c>
      <c r="B134">
        <v>98.314392589555553</v>
      </c>
    </row>
    <row r="135" spans="1:2" hidden="1" x14ac:dyDescent="0.25">
      <c r="A135">
        <v>0.69642125601501681</v>
      </c>
      <c r="B135">
        <v>128.61428308383589</v>
      </c>
    </row>
    <row r="136" spans="1:2" hidden="1" x14ac:dyDescent="0.25">
      <c r="A136">
        <v>0.92055654967071976</v>
      </c>
      <c r="B136">
        <v>180.8232180910243</v>
      </c>
    </row>
    <row r="137" spans="1:2" hidden="1" x14ac:dyDescent="0.25">
      <c r="A137">
        <v>0.95466424329655375</v>
      </c>
      <c r="B137">
        <v>224.0138386165971</v>
      </c>
    </row>
    <row r="138" spans="1:2" hidden="1" x14ac:dyDescent="0.25">
      <c r="A138">
        <v>0.92732954814231705</v>
      </c>
      <c r="B138">
        <v>546.36240539280402</v>
      </c>
    </row>
    <row r="139" spans="1:2" hidden="1" x14ac:dyDescent="0.25">
      <c r="A139">
        <v>0.89152244573166339</v>
      </c>
      <c r="B139">
        <v>1013.182115935964</v>
      </c>
    </row>
    <row r="142" spans="1:2" x14ac:dyDescent="0.25">
      <c r="A142">
        <f>AVERAGE(A2:A73)</f>
        <v>0.20716447051227782</v>
      </c>
    </row>
    <row r="143" spans="1:2" x14ac:dyDescent="0.25">
      <c r="A143">
        <f>MAX(A2:A73)</f>
        <v>0.82514880952380953</v>
      </c>
    </row>
  </sheetData>
  <autoFilter ref="A1:B139">
    <filterColumn colId="1">
      <customFilters>
        <customFilter operator="lessThanOrEqual" val="1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41"/>
  <sheetViews>
    <sheetView workbookViewId="0">
      <selection activeCell="A89" sqref="A74:A89"/>
    </sheetView>
  </sheetViews>
  <sheetFormatPr defaultRowHeight="15" x14ac:dyDescent="0.25"/>
  <sheetData>
    <row r="1" spans="1:2" x14ac:dyDescent="0.25">
      <c r="A1" s="1" t="s">
        <v>31</v>
      </c>
      <c r="B1" s="1" t="s">
        <v>32</v>
      </c>
    </row>
    <row r="2" spans="1:2" hidden="1" x14ac:dyDescent="0.25">
      <c r="A2">
        <v>0</v>
      </c>
      <c r="B2">
        <v>3.47994607721148E-4</v>
      </c>
    </row>
    <row r="3" spans="1:2" hidden="1" x14ac:dyDescent="0.25">
      <c r="A3">
        <v>0</v>
      </c>
      <c r="B3">
        <v>3.47994607721148E-4</v>
      </c>
    </row>
    <row r="4" spans="1:2" hidden="1" x14ac:dyDescent="0.25">
      <c r="A4">
        <v>0</v>
      </c>
      <c r="B4">
        <v>3.47994607721148E-4</v>
      </c>
    </row>
    <row r="5" spans="1:2" hidden="1" x14ac:dyDescent="0.25">
      <c r="A5">
        <v>0</v>
      </c>
      <c r="B5">
        <v>4.5234000060077049E-4</v>
      </c>
    </row>
    <row r="6" spans="1:2" hidden="1" x14ac:dyDescent="0.25">
      <c r="A6">
        <v>2.2004378871395409E-5</v>
      </c>
      <c r="B6">
        <v>4.8796882991381939E-4</v>
      </c>
    </row>
    <row r="7" spans="1:2" hidden="1" x14ac:dyDescent="0.25">
      <c r="A7">
        <v>0</v>
      </c>
      <c r="B7">
        <v>5.9217834472656246E-4</v>
      </c>
    </row>
    <row r="8" spans="1:2" hidden="1" x14ac:dyDescent="0.25">
      <c r="A8">
        <v>0</v>
      </c>
      <c r="B8">
        <v>5.9217834472656246E-4</v>
      </c>
    </row>
    <row r="9" spans="1:2" hidden="1" x14ac:dyDescent="0.25">
      <c r="A9">
        <v>0</v>
      </c>
      <c r="B9">
        <v>5.9217834472656246E-4</v>
      </c>
    </row>
    <row r="10" spans="1:2" hidden="1" x14ac:dyDescent="0.25">
      <c r="A10">
        <v>0</v>
      </c>
      <c r="B10">
        <v>6.7291259765625002E-4</v>
      </c>
    </row>
    <row r="11" spans="1:2" hidden="1" x14ac:dyDescent="0.25">
      <c r="A11">
        <v>0</v>
      </c>
      <c r="B11">
        <v>1.776535034179688E-3</v>
      </c>
    </row>
    <row r="12" spans="1:2" hidden="1" x14ac:dyDescent="0.25">
      <c r="A12">
        <v>1.969815855047817E-5</v>
      </c>
      <c r="B12">
        <v>1.172483547217981E-2</v>
      </c>
    </row>
    <row r="13" spans="1:2" hidden="1" x14ac:dyDescent="0.25">
      <c r="A13">
        <v>0</v>
      </c>
      <c r="B13">
        <v>1.538050943054259E-2</v>
      </c>
    </row>
    <row r="14" spans="1:2" hidden="1" x14ac:dyDescent="0.25">
      <c r="A14">
        <v>0</v>
      </c>
      <c r="B14">
        <v>2.1560790338435259E-2</v>
      </c>
    </row>
    <row r="15" spans="1:2" hidden="1" x14ac:dyDescent="0.25">
      <c r="A15">
        <v>0</v>
      </c>
      <c r="B15">
        <v>4.248741434306158E-2</v>
      </c>
    </row>
    <row r="16" spans="1:2" hidden="1" x14ac:dyDescent="0.25">
      <c r="A16">
        <v>0</v>
      </c>
      <c r="B16">
        <v>4.722839788419151E-2</v>
      </c>
    </row>
    <row r="17" spans="1:2" hidden="1" x14ac:dyDescent="0.25">
      <c r="A17">
        <v>0</v>
      </c>
      <c r="B17">
        <v>5.2440184653823961E-2</v>
      </c>
    </row>
    <row r="18" spans="1:2" hidden="1" x14ac:dyDescent="0.25">
      <c r="A18">
        <v>0</v>
      </c>
      <c r="B18">
        <v>6.0105821345938323E-2</v>
      </c>
    </row>
    <row r="19" spans="1:2" hidden="1" x14ac:dyDescent="0.25">
      <c r="A19">
        <v>0</v>
      </c>
      <c r="B19">
        <v>6.878505606437102E-2</v>
      </c>
    </row>
    <row r="20" spans="1:2" hidden="1" x14ac:dyDescent="0.25">
      <c r="A20">
        <v>0</v>
      </c>
      <c r="B20">
        <v>8.9388144565754432E-2</v>
      </c>
    </row>
    <row r="21" spans="1:2" hidden="1" x14ac:dyDescent="0.25">
      <c r="A21">
        <v>0</v>
      </c>
      <c r="B21">
        <v>9.0734619140625E-2</v>
      </c>
    </row>
    <row r="22" spans="1:2" hidden="1" x14ac:dyDescent="0.25">
      <c r="A22">
        <v>0</v>
      </c>
      <c r="B22">
        <v>9.3992002075538039E-2</v>
      </c>
    </row>
    <row r="23" spans="1:2" hidden="1" x14ac:dyDescent="0.25">
      <c r="A23">
        <v>0</v>
      </c>
      <c r="B23">
        <v>9.5552844190978869E-2</v>
      </c>
    </row>
    <row r="24" spans="1:2" hidden="1" x14ac:dyDescent="0.25">
      <c r="A24">
        <v>0</v>
      </c>
      <c r="B24">
        <v>0.1118069816846682</v>
      </c>
    </row>
    <row r="25" spans="1:2" hidden="1" x14ac:dyDescent="0.25">
      <c r="A25">
        <v>0.1414364640883978</v>
      </c>
      <c r="B25">
        <v>0.13870574156755</v>
      </c>
    </row>
    <row r="26" spans="1:2" hidden="1" x14ac:dyDescent="0.25">
      <c r="A26">
        <v>0.81433224755700329</v>
      </c>
      <c r="B26">
        <v>0.15092553236904679</v>
      </c>
    </row>
    <row r="27" spans="1:2" hidden="1" x14ac:dyDescent="0.25">
      <c r="A27">
        <v>0</v>
      </c>
      <c r="B27">
        <v>0.16106811264762649</v>
      </c>
    </row>
    <row r="28" spans="1:2" hidden="1" x14ac:dyDescent="0.25">
      <c r="A28">
        <v>0</v>
      </c>
      <c r="B28">
        <v>0.16193155978525681</v>
      </c>
    </row>
    <row r="29" spans="1:2" hidden="1" x14ac:dyDescent="0.25">
      <c r="A29">
        <v>0</v>
      </c>
      <c r="B29">
        <v>0.1646517602186805</v>
      </c>
    </row>
    <row r="30" spans="1:2" hidden="1" x14ac:dyDescent="0.25">
      <c r="A30">
        <v>0</v>
      </c>
      <c r="B30">
        <v>0.1691856037359685</v>
      </c>
    </row>
    <row r="31" spans="1:2" hidden="1" x14ac:dyDescent="0.25">
      <c r="A31">
        <v>2.58313677497491E-3</v>
      </c>
      <c r="B31">
        <v>0.17274096578949211</v>
      </c>
    </row>
    <row r="32" spans="1:2" hidden="1" x14ac:dyDescent="0.25">
      <c r="A32">
        <v>0</v>
      </c>
      <c r="B32">
        <v>0.1794392766896635</v>
      </c>
    </row>
    <row r="33" spans="1:2" hidden="1" x14ac:dyDescent="0.25">
      <c r="A33">
        <v>2.67598179316185E-3</v>
      </c>
      <c r="B33">
        <v>0.186404093027079</v>
      </c>
    </row>
    <row r="34" spans="1:2" hidden="1" x14ac:dyDescent="0.25">
      <c r="A34">
        <v>0.64478311840562719</v>
      </c>
      <c r="B34">
        <v>0.18891359153676601</v>
      </c>
    </row>
    <row r="35" spans="1:2" hidden="1" x14ac:dyDescent="0.25">
      <c r="A35">
        <v>0.54634146341463419</v>
      </c>
      <c r="B35">
        <v>0.18926571327028799</v>
      </c>
    </row>
    <row r="36" spans="1:2" hidden="1" x14ac:dyDescent="0.25">
      <c r="A36">
        <v>0</v>
      </c>
      <c r="B36">
        <v>0.19897192382812501</v>
      </c>
    </row>
    <row r="37" spans="1:2" hidden="1" x14ac:dyDescent="0.25">
      <c r="A37">
        <v>0</v>
      </c>
      <c r="B37">
        <v>0.20343508763240661</v>
      </c>
    </row>
    <row r="38" spans="1:2" hidden="1" x14ac:dyDescent="0.25">
      <c r="A38">
        <v>0.79306071871127626</v>
      </c>
      <c r="B38">
        <v>0.21003428292216089</v>
      </c>
    </row>
    <row r="39" spans="1:2" hidden="1" x14ac:dyDescent="0.25">
      <c r="A39">
        <v>0.48259587020648981</v>
      </c>
      <c r="B39">
        <v>0.2322232627868652</v>
      </c>
    </row>
    <row r="40" spans="1:2" hidden="1" x14ac:dyDescent="0.25">
      <c r="A40">
        <v>0</v>
      </c>
      <c r="B40">
        <v>0.25583503444681438</v>
      </c>
    </row>
    <row r="41" spans="1:2" hidden="1" x14ac:dyDescent="0.25">
      <c r="A41">
        <v>0</v>
      </c>
      <c r="B41">
        <v>0.27124678350987552</v>
      </c>
    </row>
    <row r="42" spans="1:2" hidden="1" x14ac:dyDescent="0.25">
      <c r="A42">
        <v>0</v>
      </c>
      <c r="B42">
        <v>0.27343127876520162</v>
      </c>
    </row>
    <row r="43" spans="1:2" hidden="1" x14ac:dyDescent="0.25">
      <c r="A43">
        <v>0</v>
      </c>
      <c r="B43">
        <v>0.32518790523058938</v>
      </c>
    </row>
    <row r="44" spans="1:2" hidden="1" x14ac:dyDescent="0.25">
      <c r="A44">
        <v>0.58663148636763418</v>
      </c>
      <c r="B44">
        <v>0.3425770020440268</v>
      </c>
    </row>
    <row r="45" spans="1:2" hidden="1" x14ac:dyDescent="0.25">
      <c r="A45">
        <v>0</v>
      </c>
      <c r="B45">
        <v>0.36528709897538653</v>
      </c>
    </row>
    <row r="46" spans="1:2" hidden="1" x14ac:dyDescent="0.25">
      <c r="A46">
        <v>4.2944759344500658E-3</v>
      </c>
      <c r="B46">
        <v>0.38549537563191738</v>
      </c>
    </row>
    <row r="47" spans="1:2" hidden="1" x14ac:dyDescent="0.25">
      <c r="A47">
        <v>0</v>
      </c>
      <c r="B47">
        <v>0.3969025905826129</v>
      </c>
    </row>
    <row r="48" spans="1:2" hidden="1" x14ac:dyDescent="0.25">
      <c r="A48">
        <v>1.1899643598038731E-3</v>
      </c>
      <c r="B48">
        <v>0.43224251107053541</v>
      </c>
    </row>
    <row r="49" spans="1:2" hidden="1" x14ac:dyDescent="0.25">
      <c r="A49">
        <v>0.60094786729857819</v>
      </c>
      <c r="B49">
        <v>0.44324707936275048</v>
      </c>
    </row>
    <row r="50" spans="1:2" hidden="1" x14ac:dyDescent="0.25">
      <c r="A50">
        <v>0</v>
      </c>
      <c r="B50">
        <v>0.44880064668510478</v>
      </c>
    </row>
    <row r="51" spans="1:2" hidden="1" x14ac:dyDescent="0.25">
      <c r="A51">
        <v>0.57268528700241916</v>
      </c>
      <c r="B51">
        <v>0.45311883187441709</v>
      </c>
    </row>
    <row r="52" spans="1:2" hidden="1" x14ac:dyDescent="0.25">
      <c r="A52">
        <v>0.2201885745978924</v>
      </c>
      <c r="B52">
        <v>0.47315049743652338</v>
      </c>
    </row>
    <row r="53" spans="1:2" hidden="1" x14ac:dyDescent="0.25">
      <c r="A53">
        <v>0.6632177961717538</v>
      </c>
      <c r="B53">
        <v>0.49257202148437501</v>
      </c>
    </row>
    <row r="54" spans="1:2" hidden="1" x14ac:dyDescent="0.25">
      <c r="A54">
        <v>1.676082641327711E-3</v>
      </c>
      <c r="B54">
        <v>0.50342734266409939</v>
      </c>
    </row>
    <row r="55" spans="1:2" hidden="1" x14ac:dyDescent="0.25">
      <c r="A55">
        <v>0</v>
      </c>
      <c r="B55">
        <v>0.52253589341277251</v>
      </c>
    </row>
    <row r="56" spans="1:2" hidden="1" x14ac:dyDescent="0.25">
      <c r="A56">
        <v>0.38146406984553388</v>
      </c>
      <c r="B56">
        <v>0.53718505859374999</v>
      </c>
    </row>
    <row r="57" spans="1:2" hidden="1" x14ac:dyDescent="0.25">
      <c r="A57">
        <v>0</v>
      </c>
      <c r="B57">
        <v>0.54403474192605716</v>
      </c>
    </row>
    <row r="58" spans="1:2" hidden="1" x14ac:dyDescent="0.25">
      <c r="A58">
        <v>0.62897327707454287</v>
      </c>
      <c r="B58">
        <v>0.58119242605705446</v>
      </c>
    </row>
    <row r="59" spans="1:2" hidden="1" x14ac:dyDescent="0.25">
      <c r="A59">
        <v>0</v>
      </c>
      <c r="B59">
        <v>0.58776289244101898</v>
      </c>
    </row>
    <row r="60" spans="1:2" hidden="1" x14ac:dyDescent="0.25">
      <c r="A60">
        <v>0.75191475191475188</v>
      </c>
      <c r="B60">
        <v>0.64381248543020508</v>
      </c>
    </row>
    <row r="61" spans="1:2" hidden="1" x14ac:dyDescent="0.25">
      <c r="A61">
        <v>0.12253829321663021</v>
      </c>
      <c r="B61">
        <v>0.65654051008640313</v>
      </c>
    </row>
    <row r="62" spans="1:2" hidden="1" x14ac:dyDescent="0.25">
      <c r="A62">
        <v>0.45488441461595819</v>
      </c>
      <c r="B62">
        <v>0.694610595703125</v>
      </c>
    </row>
    <row r="63" spans="1:2" hidden="1" x14ac:dyDescent="0.25">
      <c r="A63">
        <v>0.63703703703703707</v>
      </c>
      <c r="B63">
        <v>0.70133470329473679</v>
      </c>
    </row>
    <row r="64" spans="1:2" hidden="1" x14ac:dyDescent="0.25">
      <c r="A64">
        <v>0.77898158179848331</v>
      </c>
      <c r="B64">
        <v>0.74327046689104459</v>
      </c>
    </row>
    <row r="65" spans="1:2" hidden="1" x14ac:dyDescent="0.25">
      <c r="A65">
        <v>0.82514880952380953</v>
      </c>
      <c r="B65">
        <v>0.76577453613281254</v>
      </c>
    </row>
    <row r="66" spans="1:2" hidden="1" x14ac:dyDescent="0.25">
      <c r="A66">
        <v>0.66018631024706365</v>
      </c>
      <c r="B66">
        <v>0.7996314277648926</v>
      </c>
    </row>
    <row r="67" spans="1:2" hidden="1" x14ac:dyDescent="0.25">
      <c r="A67">
        <v>0.66044670624823298</v>
      </c>
      <c r="B67">
        <v>0.8074951171875</v>
      </c>
    </row>
    <row r="68" spans="1:2" hidden="1" x14ac:dyDescent="0.25">
      <c r="A68">
        <v>0</v>
      </c>
      <c r="B68">
        <v>0.8337756243116059</v>
      </c>
    </row>
    <row r="69" spans="1:2" hidden="1" x14ac:dyDescent="0.25">
      <c r="A69">
        <v>0.56952256376716803</v>
      </c>
      <c r="B69">
        <v>0.84075497225429352</v>
      </c>
    </row>
    <row r="70" spans="1:2" hidden="1" x14ac:dyDescent="0.25">
      <c r="A70">
        <v>0</v>
      </c>
      <c r="B70">
        <v>0.86771707370644435</v>
      </c>
    </row>
    <row r="71" spans="1:2" hidden="1" x14ac:dyDescent="0.25">
      <c r="A71">
        <v>0.79491017964071864</v>
      </c>
      <c r="B71">
        <v>0.91938029098510743</v>
      </c>
    </row>
    <row r="72" spans="1:2" hidden="1" x14ac:dyDescent="0.25">
      <c r="A72">
        <v>0.80587833219412175</v>
      </c>
      <c r="B72">
        <v>0.94947967529296873</v>
      </c>
    </row>
    <row r="73" spans="1:2" hidden="1" x14ac:dyDescent="0.25">
      <c r="A73">
        <v>0.76527331189710612</v>
      </c>
      <c r="B73">
        <v>0.96465852355957027</v>
      </c>
    </row>
    <row r="74" spans="1:2" x14ac:dyDescent="0.25">
      <c r="A74">
        <v>0.50141862264637604</v>
      </c>
      <c r="B74">
        <v>1.0084883731758869</v>
      </c>
    </row>
    <row r="75" spans="1:2" x14ac:dyDescent="0.25">
      <c r="A75">
        <v>0.85437401781037192</v>
      </c>
      <c r="B75">
        <v>1.0132171478271479</v>
      </c>
    </row>
    <row r="76" spans="1:2" x14ac:dyDescent="0.25">
      <c r="A76">
        <v>0.80284926470588225</v>
      </c>
      <c r="B76">
        <v>1.017305763244629</v>
      </c>
    </row>
    <row r="77" spans="1:2" x14ac:dyDescent="0.25">
      <c r="A77">
        <v>0.78340517241379304</v>
      </c>
      <c r="B77">
        <v>1.0486073269359619</v>
      </c>
    </row>
    <row r="78" spans="1:2" x14ac:dyDescent="0.25">
      <c r="A78">
        <v>0.83618046430135795</v>
      </c>
      <c r="B78">
        <v>1.1375683593749999</v>
      </c>
    </row>
    <row r="79" spans="1:2" x14ac:dyDescent="0.25">
      <c r="A79">
        <v>0</v>
      </c>
      <c r="B79">
        <v>1.280122201700181</v>
      </c>
    </row>
    <row r="80" spans="1:2" x14ac:dyDescent="0.25">
      <c r="A80">
        <v>5.9644141788256888E-2</v>
      </c>
      <c r="B80">
        <v>1.365824754928781</v>
      </c>
    </row>
    <row r="81" spans="1:2" x14ac:dyDescent="0.25">
      <c r="A81">
        <v>0.4335851432168713</v>
      </c>
      <c r="B81">
        <v>1.4620907249450681</v>
      </c>
    </row>
    <row r="82" spans="1:2" x14ac:dyDescent="0.25">
      <c r="A82">
        <v>0.68614718614718606</v>
      </c>
      <c r="B82">
        <v>1.5348049303986271</v>
      </c>
    </row>
    <row r="83" spans="1:2" x14ac:dyDescent="0.25">
      <c r="A83">
        <v>0.82569351728230234</v>
      </c>
      <c r="B83">
        <v>1.5590632438659671</v>
      </c>
    </row>
    <row r="84" spans="1:2" x14ac:dyDescent="0.25">
      <c r="A84">
        <v>0.4578651685393258</v>
      </c>
      <c r="B84">
        <v>1.569270088033677</v>
      </c>
    </row>
    <row r="85" spans="1:2" x14ac:dyDescent="0.25">
      <c r="A85">
        <v>0.7622127659574468</v>
      </c>
      <c r="B85">
        <v>1.5867272949218749</v>
      </c>
    </row>
    <row r="86" spans="1:2" x14ac:dyDescent="0.25">
      <c r="A86">
        <v>0.76496534341524891</v>
      </c>
      <c r="B86">
        <v>1.6504141091718341</v>
      </c>
    </row>
    <row r="87" spans="1:2" x14ac:dyDescent="0.25">
      <c r="A87">
        <v>0</v>
      </c>
      <c r="B87">
        <v>1.7569393931889661</v>
      </c>
    </row>
    <row r="88" spans="1:2" x14ac:dyDescent="0.25">
      <c r="A88">
        <v>0.7636125654450262</v>
      </c>
      <c r="B88">
        <v>1.880267277883831</v>
      </c>
    </row>
    <row r="89" spans="1:2" x14ac:dyDescent="0.25">
      <c r="A89">
        <v>0</v>
      </c>
      <c r="B89">
        <v>1.968387241934852</v>
      </c>
    </row>
    <row r="90" spans="1:2" hidden="1" x14ac:dyDescent="0.25">
      <c r="A90">
        <v>0.69629629629629619</v>
      </c>
      <c r="B90">
        <v>2.0074435347929058</v>
      </c>
    </row>
    <row r="91" spans="1:2" hidden="1" x14ac:dyDescent="0.25">
      <c r="A91">
        <v>0.75311773409427185</v>
      </c>
      <c r="B91">
        <v>2.0201086978212639</v>
      </c>
    </row>
    <row r="92" spans="1:2" hidden="1" x14ac:dyDescent="0.25">
      <c r="A92">
        <v>0.80961923847695394</v>
      </c>
      <c r="B92">
        <v>2.1090862454153321</v>
      </c>
    </row>
    <row r="93" spans="1:2" hidden="1" x14ac:dyDescent="0.25">
      <c r="A93">
        <v>0.66247002398081534</v>
      </c>
      <c r="B93">
        <v>2.1873331953099879</v>
      </c>
    </row>
    <row r="94" spans="1:2" hidden="1" x14ac:dyDescent="0.25">
      <c r="A94">
        <v>0.45059786028949023</v>
      </c>
      <c r="B94">
        <v>2.277315440484502</v>
      </c>
    </row>
    <row r="95" spans="1:2" hidden="1" x14ac:dyDescent="0.25">
      <c r="A95">
        <v>0.86512134411947728</v>
      </c>
      <c r="B95">
        <v>2.3044202923294419</v>
      </c>
    </row>
    <row r="96" spans="1:2" hidden="1" x14ac:dyDescent="0.25">
      <c r="A96">
        <v>0.7926239049194389</v>
      </c>
      <c r="B96">
        <v>2.322864006538663</v>
      </c>
    </row>
    <row r="97" spans="1:2" hidden="1" x14ac:dyDescent="0.25">
      <c r="A97">
        <v>0.83629740732804803</v>
      </c>
      <c r="B97">
        <v>2.3640656738281249</v>
      </c>
    </row>
    <row r="98" spans="1:2" hidden="1" x14ac:dyDescent="0.25">
      <c r="A98">
        <v>3.6171500090647181E-3</v>
      </c>
      <c r="B98">
        <v>2.4179216262628569</v>
      </c>
    </row>
    <row r="99" spans="1:2" hidden="1" x14ac:dyDescent="0.25">
      <c r="A99">
        <v>0.82284776701020357</v>
      </c>
      <c r="B99">
        <v>2.8076204950942221</v>
      </c>
    </row>
    <row r="100" spans="1:2" hidden="1" x14ac:dyDescent="0.25">
      <c r="A100">
        <v>0.80838951310861429</v>
      </c>
      <c r="B100">
        <v>2.8429442117679629</v>
      </c>
    </row>
    <row r="101" spans="1:2" hidden="1" x14ac:dyDescent="0.25">
      <c r="A101">
        <v>0.7318916405069178</v>
      </c>
      <c r="B101">
        <v>2.9797701385886279</v>
      </c>
    </row>
    <row r="102" spans="1:2" hidden="1" x14ac:dyDescent="0.25">
      <c r="A102">
        <v>0.86034273377411963</v>
      </c>
      <c r="B102">
        <v>3.6552238464355469</v>
      </c>
    </row>
    <row r="103" spans="1:2" hidden="1" x14ac:dyDescent="0.25">
      <c r="A103">
        <v>0.739162836914669</v>
      </c>
      <c r="B103">
        <v>3.9186172485351558</v>
      </c>
    </row>
    <row r="104" spans="1:2" hidden="1" x14ac:dyDescent="0.25">
      <c r="A104">
        <v>0.72796242774566466</v>
      </c>
      <c r="B104">
        <v>4.1176336343413578</v>
      </c>
    </row>
    <row r="105" spans="1:2" hidden="1" x14ac:dyDescent="0.25">
      <c r="A105">
        <v>0.1340282261783968</v>
      </c>
      <c r="B105">
        <v>4.3050085505983207</v>
      </c>
    </row>
    <row r="106" spans="1:2" hidden="1" x14ac:dyDescent="0.25">
      <c r="A106">
        <v>0.82415730337078652</v>
      </c>
      <c r="B106">
        <v>4.3844884643554689</v>
      </c>
    </row>
    <row r="107" spans="1:2" hidden="1" x14ac:dyDescent="0.25">
      <c r="A107">
        <v>0.83463555603125339</v>
      </c>
      <c r="B107">
        <v>4.4016100845336918</v>
      </c>
    </row>
    <row r="108" spans="1:2" hidden="1" x14ac:dyDescent="0.25">
      <c r="A108">
        <v>0.81481033335349984</v>
      </c>
      <c r="B108">
        <v>4.6222366333007816</v>
      </c>
    </row>
    <row r="109" spans="1:2" hidden="1" x14ac:dyDescent="0.25">
      <c r="A109">
        <v>0.60500658761528325</v>
      </c>
      <c r="B109">
        <v>5.9505103338146252</v>
      </c>
    </row>
    <row r="110" spans="1:2" hidden="1" x14ac:dyDescent="0.25">
      <c r="A110">
        <v>0.12815972561103131</v>
      </c>
      <c r="B110">
        <v>6.4681757737129777</v>
      </c>
    </row>
    <row r="111" spans="1:2" hidden="1" x14ac:dyDescent="0.25">
      <c r="A111">
        <v>0.74628092995439943</v>
      </c>
      <c r="B111">
        <v>6.6688258646764904</v>
      </c>
    </row>
    <row r="112" spans="1:2" hidden="1" x14ac:dyDescent="0.25">
      <c r="A112">
        <v>0.89073581560283688</v>
      </c>
      <c r="B112">
        <v>7.3344513791107824</v>
      </c>
    </row>
    <row r="113" spans="1:2" hidden="1" x14ac:dyDescent="0.25">
      <c r="A113">
        <v>0.85834478021978022</v>
      </c>
      <c r="B113">
        <v>9.0544025745484014</v>
      </c>
    </row>
    <row r="114" spans="1:2" hidden="1" x14ac:dyDescent="0.25">
      <c r="A114">
        <v>0.8494561239684022</v>
      </c>
      <c r="B114">
        <v>10.019065414428709</v>
      </c>
    </row>
    <row r="115" spans="1:2" hidden="1" x14ac:dyDescent="0.25">
      <c r="A115">
        <v>0.86707869798104653</v>
      </c>
      <c r="B115">
        <v>10.70267486572266</v>
      </c>
    </row>
    <row r="116" spans="1:2" hidden="1" x14ac:dyDescent="0.25">
      <c r="A116">
        <v>0.83874243028610795</v>
      </c>
      <c r="B116">
        <v>10.779132974162559</v>
      </c>
    </row>
    <row r="117" spans="1:2" hidden="1" x14ac:dyDescent="0.25">
      <c r="A117">
        <v>1.760685577452813E-2</v>
      </c>
      <c r="B117">
        <v>10.815509343337411</v>
      </c>
    </row>
    <row r="118" spans="1:2" hidden="1" x14ac:dyDescent="0.25">
      <c r="A118">
        <v>0.57110417258018731</v>
      </c>
      <c r="B118">
        <v>13.05588943734004</v>
      </c>
    </row>
    <row r="119" spans="1:2" hidden="1" x14ac:dyDescent="0.25">
      <c r="A119">
        <v>0.87139739634283997</v>
      </c>
      <c r="B119">
        <v>13.18580473327637</v>
      </c>
    </row>
    <row r="120" spans="1:2" hidden="1" x14ac:dyDescent="0.25">
      <c r="A120">
        <v>0.88535521928699668</v>
      </c>
      <c r="B120">
        <v>14.51276712040276</v>
      </c>
    </row>
    <row r="121" spans="1:2" hidden="1" x14ac:dyDescent="0.25">
      <c r="A121">
        <v>0.52323840602869687</v>
      </c>
      <c r="B121">
        <v>22.775550704872519</v>
      </c>
    </row>
    <row r="122" spans="1:2" hidden="1" x14ac:dyDescent="0.25">
      <c r="A122">
        <v>0.72497541995272263</v>
      </c>
      <c r="B122">
        <v>25.62763497824389</v>
      </c>
    </row>
    <row r="123" spans="1:2" hidden="1" x14ac:dyDescent="0.25">
      <c r="A123">
        <v>0.74167222706975311</v>
      </c>
      <c r="B123">
        <v>30.322344926288899</v>
      </c>
    </row>
    <row r="124" spans="1:2" hidden="1" x14ac:dyDescent="0.25">
      <c r="A124">
        <v>0.9025505597250405</v>
      </c>
      <c r="B124">
        <v>33.913814495464472</v>
      </c>
    </row>
    <row r="125" spans="1:2" hidden="1" x14ac:dyDescent="0.25">
      <c r="A125">
        <v>0.91018012613693466</v>
      </c>
      <c r="B125">
        <v>39.791443419874668</v>
      </c>
    </row>
    <row r="126" spans="1:2" hidden="1" x14ac:dyDescent="0.25">
      <c r="A126">
        <v>0.89956885288737909</v>
      </c>
      <c r="B126">
        <v>41.393146655308392</v>
      </c>
    </row>
    <row r="127" spans="1:2" hidden="1" x14ac:dyDescent="0.25">
      <c r="A127">
        <v>0.46485178612003258</v>
      </c>
      <c r="B127">
        <v>43.86107827680366</v>
      </c>
    </row>
    <row r="128" spans="1:2" hidden="1" x14ac:dyDescent="0.25">
      <c r="A128">
        <v>0.60307218885734903</v>
      </c>
      <c r="B128">
        <v>58.736808056726453</v>
      </c>
    </row>
    <row r="129" spans="1:2" hidden="1" x14ac:dyDescent="0.25">
      <c r="A129">
        <v>0.57473346362235245</v>
      </c>
      <c r="B129">
        <v>65.077427606108728</v>
      </c>
    </row>
    <row r="130" spans="1:2" hidden="1" x14ac:dyDescent="0.25">
      <c r="A130">
        <v>0.85329379368777802</v>
      </c>
      <c r="B130">
        <v>70.919561080531352</v>
      </c>
    </row>
    <row r="131" spans="1:2" hidden="1" x14ac:dyDescent="0.25">
      <c r="A131">
        <v>0.90161617201724298</v>
      </c>
      <c r="B131">
        <v>78.259115351978096</v>
      </c>
    </row>
    <row r="132" spans="1:2" hidden="1" x14ac:dyDescent="0.25">
      <c r="A132">
        <v>0.91485644400442601</v>
      </c>
      <c r="B132">
        <v>82.451419830322266</v>
      </c>
    </row>
    <row r="133" spans="1:2" hidden="1" x14ac:dyDescent="0.25">
      <c r="A133">
        <v>0.65017280111805065</v>
      </c>
      <c r="B133">
        <v>94.065030434672636</v>
      </c>
    </row>
    <row r="134" spans="1:2" hidden="1" x14ac:dyDescent="0.25">
      <c r="A134">
        <v>0.52502057649984801</v>
      </c>
      <c r="B134">
        <v>98.314392589555553</v>
      </c>
    </row>
    <row r="135" spans="1:2" hidden="1" x14ac:dyDescent="0.25">
      <c r="A135">
        <v>0.69642125601501681</v>
      </c>
      <c r="B135">
        <v>128.61428308383589</v>
      </c>
    </row>
    <row r="136" spans="1:2" hidden="1" x14ac:dyDescent="0.25">
      <c r="A136">
        <v>0.92055654967071976</v>
      </c>
      <c r="B136">
        <v>180.8232180910243</v>
      </c>
    </row>
    <row r="137" spans="1:2" hidden="1" x14ac:dyDescent="0.25">
      <c r="A137">
        <v>0.95466424329655375</v>
      </c>
      <c r="B137">
        <v>224.0138386165971</v>
      </c>
    </row>
    <row r="138" spans="1:2" hidden="1" x14ac:dyDescent="0.25">
      <c r="A138">
        <v>0.92732954814231705</v>
      </c>
      <c r="B138">
        <v>546.36240539280402</v>
      </c>
    </row>
    <row r="139" spans="1:2" hidden="1" x14ac:dyDescent="0.25">
      <c r="A139">
        <v>0.89152244573166339</v>
      </c>
      <c r="B139">
        <v>1013.182115935964</v>
      </c>
    </row>
    <row r="141" spans="1:2" x14ac:dyDescent="0.25">
      <c r="A141">
        <f>AVERAGE(A74:A89)</f>
        <v>0.53324708585434033</v>
      </c>
    </row>
  </sheetData>
  <autoFilter ref="A1:B139">
    <filterColumn colId="1">
      <customFilters and="1">
        <customFilter operator="greaterThanOrEqual" val="1"/>
        <customFilter operator="lessThanOrEqual" val="2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41"/>
  <sheetViews>
    <sheetView topLeftCell="A103" workbookViewId="0">
      <selection activeCell="A90" sqref="A90:A139"/>
    </sheetView>
  </sheetViews>
  <sheetFormatPr defaultRowHeight="15" x14ac:dyDescent="0.25"/>
  <sheetData>
    <row r="1" spans="1:2" x14ac:dyDescent="0.25">
      <c r="A1" s="1" t="s">
        <v>31</v>
      </c>
      <c r="B1" s="1" t="s">
        <v>32</v>
      </c>
    </row>
    <row r="2" spans="1:2" hidden="1" x14ac:dyDescent="0.25">
      <c r="A2">
        <v>0</v>
      </c>
      <c r="B2">
        <v>3.47994607721148E-4</v>
      </c>
    </row>
    <row r="3" spans="1:2" hidden="1" x14ac:dyDescent="0.25">
      <c r="A3">
        <v>0</v>
      </c>
      <c r="B3">
        <v>3.47994607721148E-4</v>
      </c>
    </row>
    <row r="4" spans="1:2" hidden="1" x14ac:dyDescent="0.25">
      <c r="A4">
        <v>0</v>
      </c>
      <c r="B4">
        <v>3.47994607721148E-4</v>
      </c>
    </row>
    <row r="5" spans="1:2" hidden="1" x14ac:dyDescent="0.25">
      <c r="A5">
        <v>0</v>
      </c>
      <c r="B5">
        <v>4.5234000060077049E-4</v>
      </c>
    </row>
    <row r="6" spans="1:2" hidden="1" x14ac:dyDescent="0.25">
      <c r="A6">
        <v>2.2004378871395409E-5</v>
      </c>
      <c r="B6">
        <v>4.8796882991381939E-4</v>
      </c>
    </row>
    <row r="7" spans="1:2" hidden="1" x14ac:dyDescent="0.25">
      <c r="A7">
        <v>0</v>
      </c>
      <c r="B7">
        <v>5.9217834472656246E-4</v>
      </c>
    </row>
    <row r="8" spans="1:2" hidden="1" x14ac:dyDescent="0.25">
      <c r="A8">
        <v>0</v>
      </c>
      <c r="B8">
        <v>5.9217834472656246E-4</v>
      </c>
    </row>
    <row r="9" spans="1:2" hidden="1" x14ac:dyDescent="0.25">
      <c r="A9">
        <v>0</v>
      </c>
      <c r="B9">
        <v>5.9217834472656246E-4</v>
      </c>
    </row>
    <row r="10" spans="1:2" hidden="1" x14ac:dyDescent="0.25">
      <c r="A10">
        <v>0</v>
      </c>
      <c r="B10">
        <v>6.7291259765625002E-4</v>
      </c>
    </row>
    <row r="11" spans="1:2" hidden="1" x14ac:dyDescent="0.25">
      <c r="A11">
        <v>0</v>
      </c>
      <c r="B11">
        <v>1.776535034179688E-3</v>
      </c>
    </row>
    <row r="12" spans="1:2" hidden="1" x14ac:dyDescent="0.25">
      <c r="A12">
        <v>1.969815855047817E-5</v>
      </c>
      <c r="B12">
        <v>1.172483547217981E-2</v>
      </c>
    </row>
    <row r="13" spans="1:2" hidden="1" x14ac:dyDescent="0.25">
      <c r="A13">
        <v>0</v>
      </c>
      <c r="B13">
        <v>1.538050943054259E-2</v>
      </c>
    </row>
    <row r="14" spans="1:2" hidden="1" x14ac:dyDescent="0.25">
      <c r="A14">
        <v>0</v>
      </c>
      <c r="B14">
        <v>2.1560790338435259E-2</v>
      </c>
    </row>
    <row r="15" spans="1:2" hidden="1" x14ac:dyDescent="0.25">
      <c r="A15">
        <v>0</v>
      </c>
      <c r="B15">
        <v>4.248741434306158E-2</v>
      </c>
    </row>
    <row r="16" spans="1:2" hidden="1" x14ac:dyDescent="0.25">
      <c r="A16">
        <v>0</v>
      </c>
      <c r="B16">
        <v>4.722839788419151E-2</v>
      </c>
    </row>
    <row r="17" spans="1:2" hidden="1" x14ac:dyDescent="0.25">
      <c r="A17">
        <v>0</v>
      </c>
      <c r="B17">
        <v>5.2440184653823961E-2</v>
      </c>
    </row>
    <row r="18" spans="1:2" hidden="1" x14ac:dyDescent="0.25">
      <c r="A18">
        <v>0</v>
      </c>
      <c r="B18">
        <v>6.0105821345938323E-2</v>
      </c>
    </row>
    <row r="19" spans="1:2" hidden="1" x14ac:dyDescent="0.25">
      <c r="A19">
        <v>0</v>
      </c>
      <c r="B19">
        <v>6.878505606437102E-2</v>
      </c>
    </row>
    <row r="20" spans="1:2" hidden="1" x14ac:dyDescent="0.25">
      <c r="A20">
        <v>0</v>
      </c>
      <c r="B20">
        <v>8.9388144565754432E-2</v>
      </c>
    </row>
    <row r="21" spans="1:2" hidden="1" x14ac:dyDescent="0.25">
      <c r="A21">
        <v>0</v>
      </c>
      <c r="B21">
        <v>9.0734619140625E-2</v>
      </c>
    </row>
    <row r="22" spans="1:2" hidden="1" x14ac:dyDescent="0.25">
      <c r="A22">
        <v>0</v>
      </c>
      <c r="B22">
        <v>9.3992002075538039E-2</v>
      </c>
    </row>
    <row r="23" spans="1:2" hidden="1" x14ac:dyDescent="0.25">
      <c r="A23">
        <v>0</v>
      </c>
      <c r="B23">
        <v>9.5552844190978869E-2</v>
      </c>
    </row>
    <row r="24" spans="1:2" hidden="1" x14ac:dyDescent="0.25">
      <c r="A24">
        <v>0</v>
      </c>
      <c r="B24">
        <v>0.1118069816846682</v>
      </c>
    </row>
    <row r="25" spans="1:2" hidden="1" x14ac:dyDescent="0.25">
      <c r="A25">
        <v>0.1414364640883978</v>
      </c>
      <c r="B25">
        <v>0.13870574156755</v>
      </c>
    </row>
    <row r="26" spans="1:2" hidden="1" x14ac:dyDescent="0.25">
      <c r="A26">
        <v>0.81433224755700329</v>
      </c>
      <c r="B26">
        <v>0.15092553236904679</v>
      </c>
    </row>
    <row r="27" spans="1:2" hidden="1" x14ac:dyDescent="0.25">
      <c r="A27">
        <v>0</v>
      </c>
      <c r="B27">
        <v>0.16106811264762649</v>
      </c>
    </row>
    <row r="28" spans="1:2" hidden="1" x14ac:dyDescent="0.25">
      <c r="A28">
        <v>0</v>
      </c>
      <c r="B28">
        <v>0.16193155978525681</v>
      </c>
    </row>
    <row r="29" spans="1:2" hidden="1" x14ac:dyDescent="0.25">
      <c r="A29">
        <v>0</v>
      </c>
      <c r="B29">
        <v>0.1646517602186805</v>
      </c>
    </row>
    <row r="30" spans="1:2" hidden="1" x14ac:dyDescent="0.25">
      <c r="A30">
        <v>0</v>
      </c>
      <c r="B30">
        <v>0.1691856037359685</v>
      </c>
    </row>
    <row r="31" spans="1:2" hidden="1" x14ac:dyDescent="0.25">
      <c r="A31">
        <v>2.58313677497491E-3</v>
      </c>
      <c r="B31">
        <v>0.17274096578949211</v>
      </c>
    </row>
    <row r="32" spans="1:2" hidden="1" x14ac:dyDescent="0.25">
      <c r="A32">
        <v>0</v>
      </c>
      <c r="B32">
        <v>0.1794392766896635</v>
      </c>
    </row>
    <row r="33" spans="1:2" hidden="1" x14ac:dyDescent="0.25">
      <c r="A33">
        <v>2.67598179316185E-3</v>
      </c>
      <c r="B33">
        <v>0.186404093027079</v>
      </c>
    </row>
    <row r="34" spans="1:2" hidden="1" x14ac:dyDescent="0.25">
      <c r="A34">
        <v>0.64478311840562719</v>
      </c>
      <c r="B34">
        <v>0.18891359153676601</v>
      </c>
    </row>
    <row r="35" spans="1:2" hidden="1" x14ac:dyDescent="0.25">
      <c r="A35">
        <v>0.54634146341463419</v>
      </c>
      <c r="B35">
        <v>0.18926571327028799</v>
      </c>
    </row>
    <row r="36" spans="1:2" hidden="1" x14ac:dyDescent="0.25">
      <c r="A36">
        <v>0</v>
      </c>
      <c r="B36">
        <v>0.19897192382812501</v>
      </c>
    </row>
    <row r="37" spans="1:2" hidden="1" x14ac:dyDescent="0.25">
      <c r="A37">
        <v>0</v>
      </c>
      <c r="B37">
        <v>0.20343508763240661</v>
      </c>
    </row>
    <row r="38" spans="1:2" hidden="1" x14ac:dyDescent="0.25">
      <c r="A38">
        <v>0.79306071871127626</v>
      </c>
      <c r="B38">
        <v>0.21003428292216089</v>
      </c>
    </row>
    <row r="39" spans="1:2" hidden="1" x14ac:dyDescent="0.25">
      <c r="A39">
        <v>0.48259587020648981</v>
      </c>
      <c r="B39">
        <v>0.2322232627868652</v>
      </c>
    </row>
    <row r="40" spans="1:2" hidden="1" x14ac:dyDescent="0.25">
      <c r="A40">
        <v>0</v>
      </c>
      <c r="B40">
        <v>0.25583503444681438</v>
      </c>
    </row>
    <row r="41" spans="1:2" hidden="1" x14ac:dyDescent="0.25">
      <c r="A41">
        <v>0</v>
      </c>
      <c r="B41">
        <v>0.27124678350987552</v>
      </c>
    </row>
    <row r="42" spans="1:2" hidden="1" x14ac:dyDescent="0.25">
      <c r="A42">
        <v>0</v>
      </c>
      <c r="B42">
        <v>0.27343127876520162</v>
      </c>
    </row>
    <row r="43" spans="1:2" hidden="1" x14ac:dyDescent="0.25">
      <c r="A43">
        <v>0</v>
      </c>
      <c r="B43">
        <v>0.32518790523058938</v>
      </c>
    </row>
    <row r="44" spans="1:2" hidden="1" x14ac:dyDescent="0.25">
      <c r="A44">
        <v>0.58663148636763418</v>
      </c>
      <c r="B44">
        <v>0.3425770020440268</v>
      </c>
    </row>
    <row r="45" spans="1:2" hidden="1" x14ac:dyDescent="0.25">
      <c r="A45">
        <v>0</v>
      </c>
      <c r="B45">
        <v>0.36528709897538653</v>
      </c>
    </row>
    <row r="46" spans="1:2" hidden="1" x14ac:dyDescent="0.25">
      <c r="A46">
        <v>4.2944759344500658E-3</v>
      </c>
      <c r="B46">
        <v>0.38549537563191738</v>
      </c>
    </row>
    <row r="47" spans="1:2" hidden="1" x14ac:dyDescent="0.25">
      <c r="A47">
        <v>0</v>
      </c>
      <c r="B47">
        <v>0.3969025905826129</v>
      </c>
    </row>
    <row r="48" spans="1:2" hidden="1" x14ac:dyDescent="0.25">
      <c r="A48">
        <v>1.1899643598038731E-3</v>
      </c>
      <c r="B48">
        <v>0.43224251107053541</v>
      </c>
    </row>
    <row r="49" spans="1:2" hidden="1" x14ac:dyDescent="0.25">
      <c r="A49">
        <v>0.60094786729857819</v>
      </c>
      <c r="B49">
        <v>0.44324707936275048</v>
      </c>
    </row>
    <row r="50" spans="1:2" hidden="1" x14ac:dyDescent="0.25">
      <c r="A50">
        <v>0</v>
      </c>
      <c r="B50">
        <v>0.44880064668510478</v>
      </c>
    </row>
    <row r="51" spans="1:2" hidden="1" x14ac:dyDescent="0.25">
      <c r="A51">
        <v>0.57268528700241916</v>
      </c>
      <c r="B51">
        <v>0.45311883187441709</v>
      </c>
    </row>
    <row r="52" spans="1:2" hidden="1" x14ac:dyDescent="0.25">
      <c r="A52">
        <v>0.2201885745978924</v>
      </c>
      <c r="B52">
        <v>0.47315049743652338</v>
      </c>
    </row>
    <row r="53" spans="1:2" hidden="1" x14ac:dyDescent="0.25">
      <c r="A53">
        <v>0.6632177961717538</v>
      </c>
      <c r="B53">
        <v>0.49257202148437501</v>
      </c>
    </row>
    <row r="54" spans="1:2" hidden="1" x14ac:dyDescent="0.25">
      <c r="A54">
        <v>1.676082641327711E-3</v>
      </c>
      <c r="B54">
        <v>0.50342734266409939</v>
      </c>
    </row>
    <row r="55" spans="1:2" hidden="1" x14ac:dyDescent="0.25">
      <c r="A55">
        <v>0</v>
      </c>
      <c r="B55">
        <v>0.52253589341277251</v>
      </c>
    </row>
    <row r="56" spans="1:2" hidden="1" x14ac:dyDescent="0.25">
      <c r="A56">
        <v>0.38146406984553388</v>
      </c>
      <c r="B56">
        <v>0.53718505859374999</v>
      </c>
    </row>
    <row r="57" spans="1:2" hidden="1" x14ac:dyDescent="0.25">
      <c r="A57">
        <v>0</v>
      </c>
      <c r="B57">
        <v>0.54403474192605716</v>
      </c>
    </row>
    <row r="58" spans="1:2" hidden="1" x14ac:dyDescent="0.25">
      <c r="A58">
        <v>0.62897327707454287</v>
      </c>
      <c r="B58">
        <v>0.58119242605705446</v>
      </c>
    </row>
    <row r="59" spans="1:2" hidden="1" x14ac:dyDescent="0.25">
      <c r="A59">
        <v>0</v>
      </c>
      <c r="B59">
        <v>0.58776289244101898</v>
      </c>
    </row>
    <row r="60" spans="1:2" hidden="1" x14ac:dyDescent="0.25">
      <c r="A60">
        <v>0.75191475191475188</v>
      </c>
      <c r="B60">
        <v>0.64381248543020508</v>
      </c>
    </row>
    <row r="61" spans="1:2" hidden="1" x14ac:dyDescent="0.25">
      <c r="A61">
        <v>0.12253829321663021</v>
      </c>
      <c r="B61">
        <v>0.65654051008640313</v>
      </c>
    </row>
    <row r="62" spans="1:2" hidden="1" x14ac:dyDescent="0.25">
      <c r="A62">
        <v>0.45488441461595819</v>
      </c>
      <c r="B62">
        <v>0.694610595703125</v>
      </c>
    </row>
    <row r="63" spans="1:2" hidden="1" x14ac:dyDescent="0.25">
      <c r="A63">
        <v>0.63703703703703707</v>
      </c>
      <c r="B63">
        <v>0.70133470329473679</v>
      </c>
    </row>
    <row r="64" spans="1:2" hidden="1" x14ac:dyDescent="0.25">
      <c r="A64">
        <v>0.77898158179848331</v>
      </c>
      <c r="B64">
        <v>0.74327046689104459</v>
      </c>
    </row>
    <row r="65" spans="1:2" hidden="1" x14ac:dyDescent="0.25">
      <c r="A65">
        <v>0.82514880952380953</v>
      </c>
      <c r="B65">
        <v>0.76577453613281254</v>
      </c>
    </row>
    <row r="66" spans="1:2" hidden="1" x14ac:dyDescent="0.25">
      <c r="A66">
        <v>0.66018631024706365</v>
      </c>
      <c r="B66">
        <v>0.7996314277648926</v>
      </c>
    </row>
    <row r="67" spans="1:2" hidden="1" x14ac:dyDescent="0.25">
      <c r="A67">
        <v>0.66044670624823298</v>
      </c>
      <c r="B67">
        <v>0.8074951171875</v>
      </c>
    </row>
    <row r="68" spans="1:2" hidden="1" x14ac:dyDescent="0.25">
      <c r="A68">
        <v>0</v>
      </c>
      <c r="B68">
        <v>0.8337756243116059</v>
      </c>
    </row>
    <row r="69" spans="1:2" hidden="1" x14ac:dyDescent="0.25">
      <c r="A69">
        <v>0.56952256376716803</v>
      </c>
      <c r="B69">
        <v>0.84075497225429352</v>
      </c>
    </row>
    <row r="70" spans="1:2" hidden="1" x14ac:dyDescent="0.25">
      <c r="A70">
        <v>0</v>
      </c>
      <c r="B70">
        <v>0.86771707370644435</v>
      </c>
    </row>
    <row r="71" spans="1:2" hidden="1" x14ac:dyDescent="0.25">
      <c r="A71">
        <v>0.79491017964071864</v>
      </c>
      <c r="B71">
        <v>0.91938029098510743</v>
      </c>
    </row>
    <row r="72" spans="1:2" hidden="1" x14ac:dyDescent="0.25">
      <c r="A72">
        <v>0.80587833219412175</v>
      </c>
      <c r="B72">
        <v>0.94947967529296873</v>
      </c>
    </row>
    <row r="73" spans="1:2" hidden="1" x14ac:dyDescent="0.25">
      <c r="A73">
        <v>0.76527331189710612</v>
      </c>
      <c r="B73">
        <v>0.96465852355957027</v>
      </c>
    </row>
    <row r="74" spans="1:2" hidden="1" x14ac:dyDescent="0.25">
      <c r="A74">
        <v>0.50141862264637604</v>
      </c>
      <c r="B74">
        <v>1.0084883731758869</v>
      </c>
    </row>
    <row r="75" spans="1:2" hidden="1" x14ac:dyDescent="0.25">
      <c r="A75">
        <v>0.85437401781037192</v>
      </c>
      <c r="B75">
        <v>1.0132171478271479</v>
      </c>
    </row>
    <row r="76" spans="1:2" hidden="1" x14ac:dyDescent="0.25">
      <c r="A76">
        <v>0.80284926470588225</v>
      </c>
      <c r="B76">
        <v>1.017305763244629</v>
      </c>
    </row>
    <row r="77" spans="1:2" hidden="1" x14ac:dyDescent="0.25">
      <c r="A77">
        <v>0.78340517241379304</v>
      </c>
      <c r="B77">
        <v>1.0486073269359619</v>
      </c>
    </row>
    <row r="78" spans="1:2" hidden="1" x14ac:dyDescent="0.25">
      <c r="A78">
        <v>0.83618046430135795</v>
      </c>
      <c r="B78">
        <v>1.1375683593749999</v>
      </c>
    </row>
    <row r="79" spans="1:2" hidden="1" x14ac:dyDescent="0.25">
      <c r="A79">
        <v>0</v>
      </c>
      <c r="B79">
        <v>1.280122201700181</v>
      </c>
    </row>
    <row r="80" spans="1:2" hidden="1" x14ac:dyDescent="0.25">
      <c r="A80">
        <v>5.9644141788256888E-2</v>
      </c>
      <c r="B80">
        <v>1.365824754928781</v>
      </c>
    </row>
    <row r="81" spans="1:2" hidden="1" x14ac:dyDescent="0.25">
      <c r="A81">
        <v>0.4335851432168713</v>
      </c>
      <c r="B81">
        <v>1.4620907249450681</v>
      </c>
    </row>
    <row r="82" spans="1:2" hidden="1" x14ac:dyDescent="0.25">
      <c r="A82">
        <v>0.68614718614718606</v>
      </c>
      <c r="B82">
        <v>1.5348049303986271</v>
      </c>
    </row>
    <row r="83" spans="1:2" hidden="1" x14ac:dyDescent="0.25">
      <c r="A83">
        <v>0.82569351728230234</v>
      </c>
      <c r="B83">
        <v>1.5590632438659671</v>
      </c>
    </row>
    <row r="84" spans="1:2" hidden="1" x14ac:dyDescent="0.25">
      <c r="A84">
        <v>0.4578651685393258</v>
      </c>
      <c r="B84">
        <v>1.569270088033677</v>
      </c>
    </row>
    <row r="85" spans="1:2" hidden="1" x14ac:dyDescent="0.25">
      <c r="A85">
        <v>0.7622127659574468</v>
      </c>
      <c r="B85">
        <v>1.5867272949218749</v>
      </c>
    </row>
    <row r="86" spans="1:2" hidden="1" x14ac:dyDescent="0.25">
      <c r="A86">
        <v>0.76496534341524891</v>
      </c>
      <c r="B86">
        <v>1.6504141091718341</v>
      </c>
    </row>
    <row r="87" spans="1:2" hidden="1" x14ac:dyDescent="0.25">
      <c r="A87">
        <v>0</v>
      </c>
      <c r="B87">
        <v>1.7569393931889661</v>
      </c>
    </row>
    <row r="88" spans="1:2" hidden="1" x14ac:dyDescent="0.25">
      <c r="A88">
        <v>0.7636125654450262</v>
      </c>
      <c r="B88">
        <v>1.880267277883831</v>
      </c>
    </row>
    <row r="89" spans="1:2" hidden="1" x14ac:dyDescent="0.25">
      <c r="A89">
        <v>0</v>
      </c>
      <c r="B89">
        <v>1.968387241934852</v>
      </c>
    </row>
    <row r="90" spans="1:2" x14ac:dyDescent="0.25">
      <c r="A90">
        <v>0.69629629629629619</v>
      </c>
      <c r="B90">
        <v>2.0074435347929058</v>
      </c>
    </row>
    <row r="91" spans="1:2" x14ac:dyDescent="0.25">
      <c r="A91">
        <v>0.75311773409427185</v>
      </c>
      <c r="B91">
        <v>2.0201086978212639</v>
      </c>
    </row>
    <row r="92" spans="1:2" x14ac:dyDescent="0.25">
      <c r="A92">
        <v>0.80961923847695394</v>
      </c>
      <c r="B92">
        <v>2.1090862454153321</v>
      </c>
    </row>
    <row r="93" spans="1:2" x14ac:dyDescent="0.25">
      <c r="A93">
        <v>0.66247002398081534</v>
      </c>
      <c r="B93">
        <v>2.1873331953099879</v>
      </c>
    </row>
    <row r="94" spans="1:2" x14ac:dyDescent="0.25">
      <c r="A94">
        <v>0.45059786028949023</v>
      </c>
      <c r="B94">
        <v>2.277315440484502</v>
      </c>
    </row>
    <row r="95" spans="1:2" x14ac:dyDescent="0.25">
      <c r="A95">
        <v>0.86512134411947728</v>
      </c>
      <c r="B95">
        <v>2.3044202923294419</v>
      </c>
    </row>
    <row r="96" spans="1:2" x14ac:dyDescent="0.25">
      <c r="A96">
        <v>0.7926239049194389</v>
      </c>
      <c r="B96">
        <v>2.322864006538663</v>
      </c>
    </row>
    <row r="97" spans="1:2" x14ac:dyDescent="0.25">
      <c r="A97">
        <v>0.83629740732804803</v>
      </c>
      <c r="B97">
        <v>2.3640656738281249</v>
      </c>
    </row>
    <row r="98" spans="1:2" x14ac:dyDescent="0.25">
      <c r="A98">
        <v>3.6171500090647181E-3</v>
      </c>
      <c r="B98">
        <v>2.4179216262628569</v>
      </c>
    </row>
    <row r="99" spans="1:2" x14ac:dyDescent="0.25">
      <c r="A99">
        <v>0.82284776701020357</v>
      </c>
      <c r="B99">
        <v>2.8076204950942221</v>
      </c>
    </row>
    <row r="100" spans="1:2" x14ac:dyDescent="0.25">
      <c r="A100">
        <v>0.80838951310861429</v>
      </c>
      <c r="B100">
        <v>2.8429442117679629</v>
      </c>
    </row>
    <row r="101" spans="1:2" x14ac:dyDescent="0.25">
      <c r="A101">
        <v>0.7318916405069178</v>
      </c>
      <c r="B101">
        <v>2.9797701385886279</v>
      </c>
    </row>
    <row r="102" spans="1:2" x14ac:dyDescent="0.25">
      <c r="A102">
        <v>0.86034273377411963</v>
      </c>
      <c r="B102">
        <v>3.6552238464355469</v>
      </c>
    </row>
    <row r="103" spans="1:2" x14ac:dyDescent="0.25">
      <c r="A103">
        <v>0.739162836914669</v>
      </c>
      <c r="B103">
        <v>3.9186172485351558</v>
      </c>
    </row>
    <row r="104" spans="1:2" x14ac:dyDescent="0.25">
      <c r="A104">
        <v>0.72796242774566466</v>
      </c>
      <c r="B104">
        <v>4.1176336343413578</v>
      </c>
    </row>
    <row r="105" spans="1:2" x14ac:dyDescent="0.25">
      <c r="A105">
        <v>0.1340282261783968</v>
      </c>
      <c r="B105">
        <v>4.3050085505983207</v>
      </c>
    </row>
    <row r="106" spans="1:2" x14ac:dyDescent="0.25">
      <c r="A106">
        <v>0.82415730337078652</v>
      </c>
      <c r="B106">
        <v>4.3844884643554689</v>
      </c>
    </row>
    <row r="107" spans="1:2" x14ac:dyDescent="0.25">
      <c r="A107">
        <v>0.83463555603125339</v>
      </c>
      <c r="B107">
        <v>4.4016100845336918</v>
      </c>
    </row>
    <row r="108" spans="1:2" x14ac:dyDescent="0.25">
      <c r="A108">
        <v>0.81481033335349984</v>
      </c>
      <c r="B108">
        <v>4.6222366333007816</v>
      </c>
    </row>
    <row r="109" spans="1:2" x14ac:dyDescent="0.25">
      <c r="A109">
        <v>0.60500658761528325</v>
      </c>
      <c r="B109">
        <v>5.9505103338146252</v>
      </c>
    </row>
    <row r="110" spans="1:2" x14ac:dyDescent="0.25">
      <c r="A110">
        <v>0.12815972561103131</v>
      </c>
      <c r="B110">
        <v>6.4681757737129777</v>
      </c>
    </row>
    <row r="111" spans="1:2" x14ac:dyDescent="0.25">
      <c r="A111">
        <v>0.74628092995439943</v>
      </c>
      <c r="B111">
        <v>6.6688258646764904</v>
      </c>
    </row>
    <row r="112" spans="1:2" x14ac:dyDescent="0.25">
      <c r="A112">
        <v>0.89073581560283688</v>
      </c>
      <c r="B112">
        <v>7.3344513791107824</v>
      </c>
    </row>
    <row r="113" spans="1:2" x14ac:dyDescent="0.25">
      <c r="A113">
        <v>0.85834478021978022</v>
      </c>
      <c r="B113">
        <v>9.0544025745484014</v>
      </c>
    </row>
    <row r="114" spans="1:2" x14ac:dyDescent="0.25">
      <c r="A114">
        <v>0.8494561239684022</v>
      </c>
      <c r="B114">
        <v>10.019065414428709</v>
      </c>
    </row>
    <row r="115" spans="1:2" x14ac:dyDescent="0.25">
      <c r="A115">
        <v>0.86707869798104653</v>
      </c>
      <c r="B115">
        <v>10.70267486572266</v>
      </c>
    </row>
    <row r="116" spans="1:2" x14ac:dyDescent="0.25">
      <c r="A116">
        <v>0.83874243028610795</v>
      </c>
      <c r="B116">
        <v>10.779132974162559</v>
      </c>
    </row>
    <row r="117" spans="1:2" x14ac:dyDescent="0.25">
      <c r="A117">
        <v>1.760685577452813E-2</v>
      </c>
      <c r="B117">
        <v>10.815509343337411</v>
      </c>
    </row>
    <row r="118" spans="1:2" x14ac:dyDescent="0.25">
      <c r="A118">
        <v>0.57110417258018731</v>
      </c>
      <c r="B118">
        <v>13.05588943734004</v>
      </c>
    </row>
    <row r="119" spans="1:2" x14ac:dyDescent="0.25">
      <c r="A119">
        <v>0.87139739634283997</v>
      </c>
      <c r="B119">
        <v>13.18580473327637</v>
      </c>
    </row>
    <row r="120" spans="1:2" x14ac:dyDescent="0.25">
      <c r="A120">
        <v>0.88535521928699668</v>
      </c>
      <c r="B120">
        <v>14.51276712040276</v>
      </c>
    </row>
    <row r="121" spans="1:2" x14ac:dyDescent="0.25">
      <c r="A121">
        <v>0.52323840602869687</v>
      </c>
      <c r="B121">
        <v>22.775550704872519</v>
      </c>
    </row>
    <row r="122" spans="1:2" x14ac:dyDescent="0.25">
      <c r="A122">
        <v>0.72497541995272263</v>
      </c>
      <c r="B122">
        <v>25.62763497824389</v>
      </c>
    </row>
    <row r="123" spans="1:2" x14ac:dyDescent="0.25">
      <c r="A123">
        <v>0.74167222706975311</v>
      </c>
      <c r="B123">
        <v>30.322344926288899</v>
      </c>
    </row>
    <row r="124" spans="1:2" x14ac:dyDescent="0.25">
      <c r="A124">
        <v>0.9025505597250405</v>
      </c>
      <c r="B124">
        <v>33.913814495464472</v>
      </c>
    </row>
    <row r="125" spans="1:2" x14ac:dyDescent="0.25">
      <c r="A125">
        <v>0.91018012613693466</v>
      </c>
      <c r="B125">
        <v>39.791443419874668</v>
      </c>
    </row>
    <row r="126" spans="1:2" x14ac:dyDescent="0.25">
      <c r="A126">
        <v>0.89956885288737909</v>
      </c>
      <c r="B126">
        <v>41.393146655308392</v>
      </c>
    </row>
    <row r="127" spans="1:2" x14ac:dyDescent="0.25">
      <c r="A127">
        <v>0.46485178612003258</v>
      </c>
      <c r="B127">
        <v>43.86107827680366</v>
      </c>
    </row>
    <row r="128" spans="1:2" x14ac:dyDescent="0.25">
      <c r="A128">
        <v>0.60307218885734903</v>
      </c>
      <c r="B128">
        <v>58.736808056726453</v>
      </c>
    </row>
    <row r="129" spans="1:2" x14ac:dyDescent="0.25">
      <c r="A129">
        <v>0.57473346362235245</v>
      </c>
      <c r="B129">
        <v>65.077427606108728</v>
      </c>
    </row>
    <row r="130" spans="1:2" x14ac:dyDescent="0.25">
      <c r="A130">
        <v>0.85329379368777802</v>
      </c>
      <c r="B130">
        <v>70.919561080531352</v>
      </c>
    </row>
    <row r="131" spans="1:2" x14ac:dyDescent="0.25">
      <c r="A131">
        <v>0.90161617201724298</v>
      </c>
      <c r="B131">
        <v>78.259115351978096</v>
      </c>
    </row>
    <row r="132" spans="1:2" x14ac:dyDescent="0.25">
      <c r="A132">
        <v>0.91485644400442601</v>
      </c>
      <c r="B132">
        <v>82.451419830322266</v>
      </c>
    </row>
    <row r="133" spans="1:2" x14ac:dyDescent="0.25">
      <c r="A133">
        <v>0.65017280111805065</v>
      </c>
      <c r="B133">
        <v>94.065030434672636</v>
      </c>
    </row>
    <row r="134" spans="1:2" x14ac:dyDescent="0.25">
      <c r="A134">
        <v>0.52502057649984801</v>
      </c>
      <c r="B134">
        <v>98.314392589555553</v>
      </c>
    </row>
    <row r="135" spans="1:2" x14ac:dyDescent="0.25">
      <c r="A135">
        <v>0.69642125601501681</v>
      </c>
      <c r="B135">
        <v>128.61428308383589</v>
      </c>
    </row>
    <row r="136" spans="1:2" x14ac:dyDescent="0.25">
      <c r="A136">
        <v>0.92055654967071976</v>
      </c>
      <c r="B136">
        <v>180.8232180910243</v>
      </c>
    </row>
    <row r="137" spans="1:2" x14ac:dyDescent="0.25">
      <c r="A137">
        <v>0.95466424329655375</v>
      </c>
      <c r="B137">
        <v>224.0138386165971</v>
      </c>
    </row>
    <row r="138" spans="1:2" x14ac:dyDescent="0.25">
      <c r="A138">
        <v>0.92732954814231705</v>
      </c>
      <c r="B138">
        <v>546.36240539280402</v>
      </c>
    </row>
    <row r="139" spans="1:2" x14ac:dyDescent="0.25">
      <c r="A139">
        <v>0.89152244573166339</v>
      </c>
      <c r="B139">
        <v>1013.182115935964</v>
      </c>
    </row>
    <row r="141" spans="1:2" x14ac:dyDescent="0.25">
      <c r="A141">
        <f>AVERAGE(A90:A139)</f>
        <v>0.71755109786630611</v>
      </c>
    </row>
  </sheetData>
  <autoFilter ref="A1:B139">
    <filterColumn colId="1">
      <customFilters>
        <customFilter operator="greaterThan" val="2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39"/>
  <sheetViews>
    <sheetView workbookViewId="0">
      <selection activeCell="J79" sqref="J79"/>
    </sheetView>
  </sheetViews>
  <sheetFormatPr defaultRowHeight="15" x14ac:dyDescent="0.25"/>
  <cols>
    <col min="8" max="8" width="26.85546875" bestFit="1" customWidth="1"/>
    <col min="9" max="9" width="25.42578125" bestFit="1" customWidth="1"/>
  </cols>
  <sheetData>
    <row r="1" spans="1:9" x14ac:dyDescent="0.25">
      <c r="A1" s="1" t="s">
        <v>0</v>
      </c>
      <c r="B1" s="1" t="s">
        <v>1</v>
      </c>
      <c r="C1" s="1" t="s">
        <v>31</v>
      </c>
      <c r="D1" s="1" t="s">
        <v>32</v>
      </c>
      <c r="E1" s="1" t="s">
        <v>2</v>
      </c>
      <c r="F1" s="1" t="s">
        <v>3</v>
      </c>
      <c r="G1" s="1" t="s">
        <v>4</v>
      </c>
      <c r="H1" s="1" t="s">
        <v>38</v>
      </c>
      <c r="I1" s="1" t="s">
        <v>36</v>
      </c>
    </row>
    <row r="2" spans="1:9" hidden="1" x14ac:dyDescent="0.25">
      <c r="A2" t="s">
        <v>6</v>
      </c>
      <c r="B2">
        <v>0</v>
      </c>
      <c r="C2">
        <v>0</v>
      </c>
      <c r="D2">
        <v>3.47994607721148E-4</v>
      </c>
      <c r="E2">
        <v>-1.9999850916490871</v>
      </c>
      <c r="F2">
        <v>1</v>
      </c>
      <c r="G2">
        <v>1</v>
      </c>
      <c r="H2">
        <v>50.3192138671875</v>
      </c>
      <c r="I2">
        <v>100.2657165527344</v>
      </c>
    </row>
    <row r="3" spans="1:9" hidden="1" x14ac:dyDescent="0.25">
      <c r="A3" t="s">
        <v>6</v>
      </c>
      <c r="B3">
        <v>0</v>
      </c>
      <c r="C3">
        <v>0</v>
      </c>
      <c r="D3">
        <v>3.47994607721148E-4</v>
      </c>
      <c r="E3">
        <v>-1.994277539341917</v>
      </c>
      <c r="F3">
        <v>1</v>
      </c>
      <c r="G3">
        <v>1</v>
      </c>
      <c r="H3">
        <v>41.538360595703118</v>
      </c>
      <c r="I3">
        <v>46.395378112792969</v>
      </c>
    </row>
    <row r="4" spans="1:9" hidden="1" x14ac:dyDescent="0.25">
      <c r="A4" t="s">
        <v>6</v>
      </c>
      <c r="B4">
        <v>0</v>
      </c>
      <c r="C4">
        <v>0</v>
      </c>
      <c r="D4">
        <v>3.47994607721148E-4</v>
      </c>
      <c r="E4">
        <v>-1.9995854492693541</v>
      </c>
      <c r="F4">
        <v>1</v>
      </c>
      <c r="G4">
        <v>1</v>
      </c>
      <c r="H4">
        <v>12.316543579101561</v>
      </c>
      <c r="I4">
        <v>19.161222457885739</v>
      </c>
    </row>
    <row r="5" spans="1:9" hidden="1" x14ac:dyDescent="0.25">
      <c r="A5" t="s">
        <v>13</v>
      </c>
      <c r="B5">
        <v>0</v>
      </c>
      <c r="C5">
        <v>0</v>
      </c>
      <c r="D5">
        <v>4.5234000060077049E-4</v>
      </c>
      <c r="E5">
        <v>-1.998519615099926</v>
      </c>
      <c r="F5">
        <v>1</v>
      </c>
      <c r="G5">
        <v>1</v>
      </c>
      <c r="H5">
        <v>27.217691421508789</v>
      </c>
      <c r="I5">
        <v>36.238601684570313</v>
      </c>
    </row>
    <row r="6" spans="1:9" hidden="1" x14ac:dyDescent="0.25">
      <c r="A6" t="s">
        <v>28</v>
      </c>
      <c r="B6">
        <v>1.1002310485201891E-5</v>
      </c>
      <c r="C6">
        <v>2.2004378871395409E-5</v>
      </c>
      <c r="D6">
        <v>4.8796882991381939E-4</v>
      </c>
      <c r="E6">
        <v>-1.9999559912422571</v>
      </c>
      <c r="F6">
        <v>0.99998899768951477</v>
      </c>
      <c r="G6">
        <v>0</v>
      </c>
      <c r="H6">
        <v>33.541828366654222</v>
      </c>
      <c r="I6">
        <v>71.397628784179688</v>
      </c>
    </row>
    <row r="7" spans="1:9" hidden="1" x14ac:dyDescent="0.25">
      <c r="A7" t="s">
        <v>9</v>
      </c>
      <c r="B7">
        <v>0</v>
      </c>
      <c r="C7">
        <v>0</v>
      </c>
      <c r="D7">
        <v>5.9217834472656246E-4</v>
      </c>
      <c r="E7">
        <v>-1.9981024667931691</v>
      </c>
      <c r="F7">
        <v>1</v>
      </c>
      <c r="G7">
        <v>1</v>
      </c>
      <c r="H7">
        <v>9.7859363555908203</v>
      </c>
      <c r="I7">
        <v>14.76368427276611</v>
      </c>
    </row>
    <row r="8" spans="1:9" hidden="1" x14ac:dyDescent="0.25">
      <c r="A8" t="s">
        <v>9</v>
      </c>
      <c r="B8">
        <v>0</v>
      </c>
      <c r="C8">
        <v>0</v>
      </c>
      <c r="D8">
        <v>5.9217834472656246E-4</v>
      </c>
      <c r="E8">
        <v>-1.9981024667931691</v>
      </c>
      <c r="F8">
        <v>1</v>
      </c>
      <c r="G8">
        <v>1</v>
      </c>
      <c r="H8">
        <v>9.25823974609375</v>
      </c>
      <c r="I8">
        <v>14.128299713134769</v>
      </c>
    </row>
    <row r="9" spans="1:9" hidden="1" x14ac:dyDescent="0.25">
      <c r="A9" t="s">
        <v>9</v>
      </c>
      <c r="B9">
        <v>0</v>
      </c>
      <c r="C9">
        <v>0</v>
      </c>
      <c r="D9">
        <v>5.9217834472656246E-4</v>
      </c>
      <c r="E9">
        <v>-1.9981024667931691</v>
      </c>
      <c r="F9">
        <v>1</v>
      </c>
      <c r="G9">
        <v>1</v>
      </c>
      <c r="H9">
        <v>9.3483772277832031</v>
      </c>
      <c r="I9">
        <v>14.403403282165529</v>
      </c>
    </row>
    <row r="10" spans="1:9" hidden="1" x14ac:dyDescent="0.25">
      <c r="A10" t="s">
        <v>30</v>
      </c>
      <c r="B10">
        <v>0</v>
      </c>
      <c r="C10">
        <v>0</v>
      </c>
      <c r="D10">
        <v>6.7291259765625002E-4</v>
      </c>
      <c r="E10">
        <v>-1.997421018697614</v>
      </c>
      <c r="F10">
        <v>1</v>
      </c>
      <c r="G10">
        <v>1</v>
      </c>
      <c r="H10">
        <v>8.9494237899780273</v>
      </c>
      <c r="I10">
        <v>14.524368286132811</v>
      </c>
    </row>
    <row r="11" spans="1:9" hidden="1" x14ac:dyDescent="0.25">
      <c r="A11" t="s">
        <v>9</v>
      </c>
      <c r="B11">
        <v>0</v>
      </c>
      <c r="C11">
        <v>0</v>
      </c>
      <c r="D11">
        <v>1.776535034179688E-3</v>
      </c>
      <c r="E11">
        <v>-1.994312796208531</v>
      </c>
      <c r="F11">
        <v>1</v>
      </c>
      <c r="G11">
        <v>1</v>
      </c>
      <c r="H11">
        <v>9.3992214202880859</v>
      </c>
      <c r="I11">
        <v>14.246626853942869</v>
      </c>
    </row>
    <row r="12" spans="1:9" hidden="1" x14ac:dyDescent="0.25">
      <c r="A12" t="s">
        <v>15</v>
      </c>
      <c r="B12">
        <v>9.8491762805570699E-6</v>
      </c>
      <c r="C12">
        <v>1.969815855047817E-5</v>
      </c>
      <c r="D12">
        <v>1.172483547217981E-2</v>
      </c>
      <c r="E12">
        <v>-1.999960603682899</v>
      </c>
      <c r="F12">
        <v>0.99999015082371945</v>
      </c>
      <c r="G12">
        <v>0</v>
      </c>
      <c r="H12">
        <v>74.213218688964844</v>
      </c>
      <c r="I12">
        <v>131.5042419433594</v>
      </c>
    </row>
    <row r="13" spans="1:9" hidden="1" x14ac:dyDescent="0.25">
      <c r="A13" t="s">
        <v>29</v>
      </c>
      <c r="B13">
        <v>0</v>
      </c>
      <c r="C13">
        <v>0</v>
      </c>
      <c r="D13">
        <v>1.538050943054259E-2</v>
      </c>
      <c r="E13">
        <v>-1.9428798095993649</v>
      </c>
      <c r="F13">
        <v>1</v>
      </c>
      <c r="G13">
        <v>1</v>
      </c>
      <c r="H13">
        <v>15.947224617004389</v>
      </c>
      <c r="I13">
        <v>21.68072509765625</v>
      </c>
    </row>
    <row r="14" spans="1:9" hidden="1" x14ac:dyDescent="0.25">
      <c r="A14" t="s">
        <v>5</v>
      </c>
      <c r="B14">
        <v>0</v>
      </c>
      <c r="C14">
        <v>0</v>
      </c>
      <c r="D14">
        <v>2.1560790338435259E-2</v>
      </c>
      <c r="E14">
        <v>-1.9998518842440101</v>
      </c>
      <c r="F14">
        <v>1</v>
      </c>
      <c r="G14">
        <v>1</v>
      </c>
      <c r="H14">
        <v>74.970130920410156</v>
      </c>
      <c r="I14">
        <v>125.2346496582031</v>
      </c>
    </row>
    <row r="15" spans="1:9" hidden="1" x14ac:dyDescent="0.25">
      <c r="A15" t="s">
        <v>22</v>
      </c>
      <c r="B15">
        <v>0</v>
      </c>
      <c r="C15">
        <v>0</v>
      </c>
      <c r="D15">
        <v>4.248741434306158E-2</v>
      </c>
      <c r="E15">
        <v>-1.9962675274891559</v>
      </c>
      <c r="F15">
        <v>1</v>
      </c>
      <c r="G15">
        <v>1</v>
      </c>
      <c r="H15">
        <v>58.481803894042969</v>
      </c>
      <c r="I15">
        <v>107.5570526123047</v>
      </c>
    </row>
    <row r="16" spans="1:9" hidden="1" x14ac:dyDescent="0.25">
      <c r="A16" t="s">
        <v>5</v>
      </c>
      <c r="B16">
        <v>0</v>
      </c>
      <c r="C16">
        <v>0</v>
      </c>
      <c r="D16">
        <v>4.722839788419151E-2</v>
      </c>
      <c r="E16">
        <v>-1.8772787905735879</v>
      </c>
      <c r="F16">
        <v>1</v>
      </c>
      <c r="G16">
        <v>1</v>
      </c>
      <c r="H16">
        <v>36.497234344482422</v>
      </c>
      <c r="I16">
        <v>44.297466278076172</v>
      </c>
    </row>
    <row r="17" spans="1:9" hidden="1" x14ac:dyDescent="0.25">
      <c r="A17" t="s">
        <v>26</v>
      </c>
      <c r="B17">
        <v>0</v>
      </c>
      <c r="C17">
        <v>0</v>
      </c>
      <c r="D17">
        <v>5.2440184653823961E-2</v>
      </c>
      <c r="E17">
        <v>-1.751937984496124</v>
      </c>
      <c r="F17">
        <v>1</v>
      </c>
      <c r="G17">
        <v>1</v>
      </c>
      <c r="H17">
        <v>132.9217224121094</v>
      </c>
      <c r="I17">
        <v>140.09074401855469</v>
      </c>
    </row>
    <row r="18" spans="1:9" hidden="1" x14ac:dyDescent="0.25">
      <c r="A18" t="s">
        <v>23</v>
      </c>
      <c r="B18">
        <v>0</v>
      </c>
      <c r="C18">
        <v>0</v>
      </c>
      <c r="D18">
        <v>6.0105821345938323E-2</v>
      </c>
      <c r="E18">
        <v>-1.9451090781140039</v>
      </c>
      <c r="F18">
        <v>1</v>
      </c>
      <c r="G18">
        <v>1</v>
      </c>
      <c r="H18">
        <v>28.755867004394531</v>
      </c>
      <c r="I18">
        <v>41.164508819580078</v>
      </c>
    </row>
    <row r="19" spans="1:9" hidden="1" x14ac:dyDescent="0.25">
      <c r="A19" t="s">
        <v>29</v>
      </c>
      <c r="B19">
        <v>0</v>
      </c>
      <c r="C19">
        <v>0</v>
      </c>
      <c r="D19">
        <v>6.878505606437102E-2</v>
      </c>
      <c r="E19">
        <v>-1.756613756613757</v>
      </c>
      <c r="F19">
        <v>1</v>
      </c>
      <c r="G19">
        <v>1</v>
      </c>
      <c r="H19">
        <v>27.70351409912109</v>
      </c>
      <c r="I19">
        <v>39.885944366455078</v>
      </c>
    </row>
    <row r="20" spans="1:9" hidden="1" x14ac:dyDescent="0.25">
      <c r="A20" t="s">
        <v>23</v>
      </c>
      <c r="B20">
        <v>0</v>
      </c>
      <c r="C20">
        <v>0</v>
      </c>
      <c r="D20">
        <v>8.9388144565754432E-2</v>
      </c>
      <c r="E20">
        <v>-1.9189094722125131</v>
      </c>
      <c r="F20">
        <v>1</v>
      </c>
      <c r="G20">
        <v>1</v>
      </c>
      <c r="H20">
        <v>27.977434158325199</v>
      </c>
      <c r="I20">
        <v>40.49017333984375</v>
      </c>
    </row>
    <row r="21" spans="1:9" hidden="1" x14ac:dyDescent="0.25">
      <c r="A21" t="s">
        <v>10</v>
      </c>
      <c r="B21">
        <v>0</v>
      </c>
      <c r="C21">
        <v>0</v>
      </c>
      <c r="D21">
        <v>9.0734619140625E-2</v>
      </c>
      <c r="E21">
        <v>1.480519480519481</v>
      </c>
      <c r="F21">
        <v>1</v>
      </c>
      <c r="G21">
        <v>1</v>
      </c>
      <c r="H21">
        <v>24.20285797119141</v>
      </c>
      <c r="I21">
        <v>29.23270416259766</v>
      </c>
    </row>
    <row r="22" spans="1:9" hidden="1" x14ac:dyDescent="0.25">
      <c r="A22" t="s">
        <v>29</v>
      </c>
      <c r="B22">
        <v>0</v>
      </c>
      <c r="C22">
        <v>0</v>
      </c>
      <c r="D22">
        <v>9.3992002075538039E-2</v>
      </c>
      <c r="E22">
        <v>-1.2839707078925959</v>
      </c>
      <c r="F22">
        <v>1</v>
      </c>
      <c r="G22">
        <v>1</v>
      </c>
      <c r="H22">
        <v>43.405338287353523</v>
      </c>
      <c r="I22">
        <v>50.976459503173828</v>
      </c>
    </row>
    <row r="23" spans="1:9" hidden="1" x14ac:dyDescent="0.25">
      <c r="A23" t="s">
        <v>23</v>
      </c>
      <c r="B23">
        <v>0</v>
      </c>
      <c r="C23">
        <v>0</v>
      </c>
      <c r="D23">
        <v>9.5552844190978869E-2</v>
      </c>
      <c r="E23">
        <v>-1.9054517727792599</v>
      </c>
      <c r="F23">
        <v>1</v>
      </c>
      <c r="G23">
        <v>1</v>
      </c>
      <c r="H23">
        <v>57.225383758544922</v>
      </c>
      <c r="I23">
        <v>77.3681640625</v>
      </c>
    </row>
    <row r="24" spans="1:9" hidden="1" x14ac:dyDescent="0.25">
      <c r="A24" t="s">
        <v>21</v>
      </c>
      <c r="B24">
        <v>0</v>
      </c>
      <c r="C24">
        <v>0</v>
      </c>
      <c r="D24">
        <v>0.1118069816846682</v>
      </c>
      <c r="E24">
        <v>-1.5717761557177621</v>
      </c>
      <c r="F24">
        <v>1</v>
      </c>
      <c r="G24">
        <v>1</v>
      </c>
      <c r="H24">
        <v>31.455657958984379</v>
      </c>
      <c r="I24">
        <v>36.548469543457031</v>
      </c>
    </row>
    <row r="25" spans="1:9" hidden="1" x14ac:dyDescent="0.25">
      <c r="A25" t="s">
        <v>23</v>
      </c>
      <c r="B25">
        <v>7.6099881093935784E-2</v>
      </c>
      <c r="C25">
        <v>0.1414364640883978</v>
      </c>
      <c r="D25">
        <v>0.13870574156755</v>
      </c>
      <c r="E25">
        <v>-1.6022099447513809</v>
      </c>
      <c r="F25">
        <v>0.92147239263803682</v>
      </c>
      <c r="G25">
        <v>0.28888888888888892</v>
      </c>
      <c r="H25">
        <v>5.006850422324991</v>
      </c>
      <c r="I25">
        <v>12.96229267120361</v>
      </c>
    </row>
    <row r="26" spans="1:9" hidden="1" x14ac:dyDescent="0.25">
      <c r="A26" t="s">
        <v>5</v>
      </c>
      <c r="B26">
        <v>0.68681318681318682</v>
      </c>
      <c r="C26">
        <v>0.81433224755700329</v>
      </c>
      <c r="D26">
        <v>0.15092553236904679</v>
      </c>
      <c r="E26">
        <v>-8.4690553745928335E-2</v>
      </c>
      <c r="F26">
        <v>0.21875</v>
      </c>
      <c r="G26">
        <v>0.1496598639455782</v>
      </c>
      <c r="H26">
        <v>0.30058639787972352</v>
      </c>
      <c r="I26">
        <v>2.09765625</v>
      </c>
    </row>
    <row r="27" spans="1:9" hidden="1" x14ac:dyDescent="0.25">
      <c r="A27" t="s">
        <v>29</v>
      </c>
      <c r="B27">
        <v>0</v>
      </c>
      <c r="C27">
        <v>0</v>
      </c>
      <c r="D27">
        <v>0.16106811264762649</v>
      </c>
      <c r="E27">
        <v>-0.94839609483960952</v>
      </c>
      <c r="F27">
        <v>1</v>
      </c>
      <c r="G27">
        <v>1</v>
      </c>
      <c r="H27">
        <v>53.543552398681641</v>
      </c>
      <c r="I27">
        <v>60.389854431152337</v>
      </c>
    </row>
    <row r="28" spans="1:9" hidden="1" x14ac:dyDescent="0.25">
      <c r="A28" t="s">
        <v>8</v>
      </c>
      <c r="B28">
        <v>0</v>
      </c>
      <c r="C28">
        <v>0</v>
      </c>
      <c r="D28">
        <v>0.16193155978525681</v>
      </c>
      <c r="E28">
        <v>-1.348425196850394</v>
      </c>
      <c r="F28">
        <v>1</v>
      </c>
      <c r="G28">
        <v>1</v>
      </c>
      <c r="H28">
        <v>18.781097412109379</v>
      </c>
      <c r="I28">
        <v>27.809490203857418</v>
      </c>
    </row>
    <row r="29" spans="1:9" hidden="1" x14ac:dyDescent="0.25">
      <c r="A29" t="s">
        <v>13</v>
      </c>
      <c r="B29">
        <v>0</v>
      </c>
      <c r="C29">
        <v>0</v>
      </c>
      <c r="D29">
        <v>0.1646517602186805</v>
      </c>
      <c r="E29">
        <v>-1.930077318349902</v>
      </c>
      <c r="F29">
        <v>1</v>
      </c>
      <c r="G29">
        <v>1</v>
      </c>
      <c r="H29">
        <v>31.543107986450199</v>
      </c>
      <c r="I29">
        <v>54.895679473876953</v>
      </c>
    </row>
    <row r="30" spans="1:9" hidden="1" x14ac:dyDescent="0.25">
      <c r="A30" t="s">
        <v>29</v>
      </c>
      <c r="B30">
        <v>0</v>
      </c>
      <c r="C30">
        <v>0</v>
      </c>
      <c r="D30">
        <v>0.1691856037359685</v>
      </c>
      <c r="E30">
        <v>-0.9098417068134893</v>
      </c>
      <c r="F30">
        <v>1</v>
      </c>
      <c r="G30">
        <v>1</v>
      </c>
      <c r="H30">
        <v>55.654556274414063</v>
      </c>
      <c r="I30">
        <v>61.377742767333977</v>
      </c>
    </row>
    <row r="31" spans="1:9" hidden="1" x14ac:dyDescent="0.25">
      <c r="A31" t="s">
        <v>28</v>
      </c>
      <c r="B31">
        <v>1.293238693701716E-3</v>
      </c>
      <c r="C31">
        <v>2.58313677497491E-3</v>
      </c>
      <c r="D31">
        <v>0.17274096578949211</v>
      </c>
      <c r="E31">
        <v>-1.9940037349616979</v>
      </c>
      <c r="F31">
        <v>0.99870649255915145</v>
      </c>
      <c r="G31">
        <v>0.1384180790960452</v>
      </c>
      <c r="H31">
        <v>53.603020254164541</v>
      </c>
      <c r="I31">
        <v>107.9234161376953</v>
      </c>
    </row>
    <row r="32" spans="1:9" hidden="1" x14ac:dyDescent="0.25">
      <c r="A32" t="s">
        <v>29</v>
      </c>
      <c r="B32">
        <v>0</v>
      </c>
      <c r="C32">
        <v>0</v>
      </c>
      <c r="D32">
        <v>0.1794392766896635</v>
      </c>
      <c r="E32">
        <v>-0.86255924170616116</v>
      </c>
      <c r="F32">
        <v>1</v>
      </c>
      <c r="G32">
        <v>1</v>
      </c>
      <c r="H32">
        <v>83.410423278808594</v>
      </c>
      <c r="I32">
        <v>89.507225036621094</v>
      </c>
    </row>
    <row r="33" spans="1:9" hidden="1" x14ac:dyDescent="0.25">
      <c r="A33" t="s">
        <v>28</v>
      </c>
      <c r="B33">
        <v>1.339783514727019E-3</v>
      </c>
      <c r="C33">
        <v>2.67598179316185E-3</v>
      </c>
      <c r="D33">
        <v>0.186404093027079</v>
      </c>
      <c r="E33">
        <v>-1.9935302212342541</v>
      </c>
      <c r="F33">
        <v>0.99865984147112086</v>
      </c>
      <c r="G33">
        <v>0.1727748691099476</v>
      </c>
      <c r="H33">
        <v>58.723053581222437</v>
      </c>
      <c r="I33">
        <v>115.53257751464839</v>
      </c>
    </row>
    <row r="34" spans="1:9" hidden="1" x14ac:dyDescent="0.25">
      <c r="A34" t="s">
        <v>5</v>
      </c>
      <c r="B34">
        <v>0.47577854671280279</v>
      </c>
      <c r="C34">
        <v>0.64478311840562719</v>
      </c>
      <c r="D34">
        <v>0.18891359153676601</v>
      </c>
      <c r="E34">
        <v>0.58851113716295433</v>
      </c>
      <c r="F34">
        <v>8.6378737541528236E-2</v>
      </c>
      <c r="G34">
        <v>0.50181159420289856</v>
      </c>
      <c r="H34">
        <v>0.67291444065750283</v>
      </c>
      <c r="I34">
        <v>3.1276977062225342</v>
      </c>
    </row>
    <row r="35" spans="1:9" hidden="1" x14ac:dyDescent="0.25">
      <c r="A35" t="s">
        <v>29</v>
      </c>
      <c r="B35">
        <v>0.37583892617449671</v>
      </c>
      <c r="C35">
        <v>0.54634146341463419</v>
      </c>
      <c r="D35">
        <v>0.18926571327028799</v>
      </c>
      <c r="E35">
        <v>0.88130081300813012</v>
      </c>
      <c r="F35">
        <v>2.3255813953488368E-2</v>
      </c>
      <c r="G35">
        <v>0.62076749435665912</v>
      </c>
      <c r="H35">
        <v>0.76150107488912699</v>
      </c>
      <c r="I35">
        <v>1.8819490671157839</v>
      </c>
    </row>
    <row r="36" spans="1:9" hidden="1" x14ac:dyDescent="0.25">
      <c r="A36" t="s">
        <v>9</v>
      </c>
      <c r="B36">
        <v>0</v>
      </c>
      <c r="C36">
        <v>0</v>
      </c>
      <c r="D36">
        <v>0.19897192382812501</v>
      </c>
      <c r="E36">
        <v>-1.5112727272727271</v>
      </c>
      <c r="F36">
        <v>1</v>
      </c>
      <c r="G36">
        <v>1</v>
      </c>
      <c r="H36">
        <v>16.11307334899902</v>
      </c>
      <c r="I36">
        <v>24.80706787109375</v>
      </c>
    </row>
    <row r="37" spans="1:9" hidden="1" x14ac:dyDescent="0.25">
      <c r="A37" t="s">
        <v>23</v>
      </c>
      <c r="B37">
        <v>0</v>
      </c>
      <c r="C37">
        <v>0</v>
      </c>
      <c r="D37">
        <v>0.20343508763240661</v>
      </c>
      <c r="E37">
        <v>-0.71844660194174759</v>
      </c>
      <c r="F37">
        <v>1</v>
      </c>
      <c r="G37">
        <v>1</v>
      </c>
      <c r="H37">
        <v>25.47199630737305</v>
      </c>
      <c r="I37">
        <v>30.35658073425293</v>
      </c>
    </row>
    <row r="38" spans="1:9" hidden="1" x14ac:dyDescent="0.25">
      <c r="A38" t="s">
        <v>7</v>
      </c>
      <c r="B38">
        <v>0.65708418891170428</v>
      </c>
      <c r="C38">
        <v>0.79306071871127626</v>
      </c>
      <c r="D38">
        <v>0.21003428292216089</v>
      </c>
      <c r="E38">
        <v>3.2218091697645598E-2</v>
      </c>
      <c r="F38">
        <v>0.19395465994962219</v>
      </c>
      <c r="G38">
        <v>0.21951219512195119</v>
      </c>
      <c r="H38">
        <v>0.36470146046072088</v>
      </c>
      <c r="I38">
        <v>2.2107264995574951</v>
      </c>
    </row>
    <row r="39" spans="1:9" hidden="1" x14ac:dyDescent="0.25">
      <c r="A39" t="s">
        <v>24</v>
      </c>
      <c r="B39">
        <v>0.31804043545878702</v>
      </c>
      <c r="C39">
        <v>0.48259587020648981</v>
      </c>
      <c r="D39">
        <v>0.2322232627868652</v>
      </c>
      <c r="E39">
        <v>-1.0206489675516219</v>
      </c>
      <c r="F39">
        <v>0.68046874999999996</v>
      </c>
      <c r="G39">
        <v>1.445783132530121E-2</v>
      </c>
      <c r="H39">
        <v>1.497214808689032</v>
      </c>
      <c r="I39">
        <v>6.4059476852416992</v>
      </c>
    </row>
    <row r="40" spans="1:9" hidden="1" x14ac:dyDescent="0.25">
      <c r="A40" t="s">
        <v>23</v>
      </c>
      <c r="B40">
        <v>0</v>
      </c>
      <c r="C40">
        <v>0</v>
      </c>
      <c r="D40">
        <v>0.25583503444681438</v>
      </c>
      <c r="E40">
        <v>-0.5112107623318386</v>
      </c>
      <c r="F40">
        <v>1</v>
      </c>
      <c r="G40">
        <v>1</v>
      </c>
      <c r="H40">
        <v>23.47196197509766</v>
      </c>
      <c r="I40">
        <v>28.333234786987301</v>
      </c>
    </row>
    <row r="41" spans="1:9" hidden="1" x14ac:dyDescent="0.25">
      <c r="A41" t="s">
        <v>23</v>
      </c>
      <c r="B41">
        <v>0</v>
      </c>
      <c r="C41">
        <v>0</v>
      </c>
      <c r="D41">
        <v>0.27124678350987552</v>
      </c>
      <c r="E41">
        <v>-0.45614035087719301</v>
      </c>
      <c r="F41">
        <v>1</v>
      </c>
      <c r="G41">
        <v>1</v>
      </c>
      <c r="H41">
        <v>19.7978401184082</v>
      </c>
      <c r="I41">
        <v>27.425874710083011</v>
      </c>
    </row>
    <row r="42" spans="1:9" hidden="1" x14ac:dyDescent="0.25">
      <c r="A42" t="s">
        <v>29</v>
      </c>
      <c r="B42">
        <v>0</v>
      </c>
      <c r="C42">
        <v>0</v>
      </c>
      <c r="D42">
        <v>0.27343127876520162</v>
      </c>
      <c r="E42">
        <v>-0.49145550972304058</v>
      </c>
      <c r="F42">
        <v>1</v>
      </c>
      <c r="G42">
        <v>1</v>
      </c>
      <c r="H42">
        <v>31.084918975830082</v>
      </c>
      <c r="I42">
        <v>37.980144500732422</v>
      </c>
    </row>
    <row r="43" spans="1:9" hidden="1" x14ac:dyDescent="0.25">
      <c r="A43" t="s">
        <v>23</v>
      </c>
      <c r="B43">
        <v>0</v>
      </c>
      <c r="C43">
        <v>0</v>
      </c>
      <c r="D43">
        <v>0.32518790523058938</v>
      </c>
      <c r="E43">
        <v>-0.33858267716535428</v>
      </c>
      <c r="F43">
        <v>1</v>
      </c>
      <c r="G43">
        <v>1</v>
      </c>
      <c r="H43">
        <v>80.854194641113281</v>
      </c>
      <c r="I43">
        <v>88.741851806640625</v>
      </c>
    </row>
    <row r="44" spans="1:9" hidden="1" x14ac:dyDescent="0.25">
      <c r="A44" t="s">
        <v>5</v>
      </c>
      <c r="B44">
        <v>0.41505911636589921</v>
      </c>
      <c r="C44">
        <v>0.58663148636763418</v>
      </c>
      <c r="D44">
        <v>0.3425770020440268</v>
      </c>
      <c r="E44">
        <v>-0.2392260334212841</v>
      </c>
      <c r="F44">
        <v>0.47604084838963079</v>
      </c>
      <c r="G44">
        <v>0.33366633366633369</v>
      </c>
      <c r="H44">
        <v>0.80210503161652014</v>
      </c>
      <c r="I44">
        <v>3.0494415760040279</v>
      </c>
    </row>
    <row r="45" spans="1:9" hidden="1" x14ac:dyDescent="0.25">
      <c r="A45" t="s">
        <v>29</v>
      </c>
      <c r="B45">
        <v>0</v>
      </c>
      <c r="C45">
        <v>0</v>
      </c>
      <c r="D45">
        <v>0.36528709897538653</v>
      </c>
      <c r="E45">
        <v>1.330087633885102</v>
      </c>
      <c r="F45">
        <v>1</v>
      </c>
      <c r="G45">
        <v>1</v>
      </c>
      <c r="H45">
        <v>16.837808609008789</v>
      </c>
      <c r="I45">
        <v>21.94248008728027</v>
      </c>
    </row>
    <row r="46" spans="1:9" hidden="1" x14ac:dyDescent="0.25">
      <c r="A46" t="s">
        <v>28</v>
      </c>
      <c r="B46">
        <v>2.1518585195382822E-3</v>
      </c>
      <c r="C46">
        <v>4.2944759344500658E-3</v>
      </c>
      <c r="D46">
        <v>0.38549537563191738</v>
      </c>
      <c r="E46">
        <v>-1.9866431654007259</v>
      </c>
      <c r="F46">
        <v>0.99784556793458667</v>
      </c>
      <c r="G46">
        <v>0.35696202531645571</v>
      </c>
      <c r="H46">
        <v>59.199465297013333</v>
      </c>
      <c r="I46">
        <v>110.2782821655273</v>
      </c>
    </row>
    <row r="47" spans="1:9" hidden="1" x14ac:dyDescent="0.25">
      <c r="A47" t="s">
        <v>29</v>
      </c>
      <c r="B47">
        <v>0</v>
      </c>
      <c r="C47">
        <v>0</v>
      </c>
      <c r="D47">
        <v>0.3969025905826129</v>
      </c>
      <c r="E47">
        <v>1.3751135331516799</v>
      </c>
      <c r="F47">
        <v>1</v>
      </c>
      <c r="G47">
        <v>1</v>
      </c>
      <c r="H47">
        <v>32.180194854736328</v>
      </c>
      <c r="I47">
        <v>37.548999786376953</v>
      </c>
    </row>
    <row r="48" spans="1:9" hidden="1" x14ac:dyDescent="0.25">
      <c r="A48" t="s">
        <v>5</v>
      </c>
      <c r="B48">
        <v>5.9533639444768005E-4</v>
      </c>
      <c r="C48">
        <v>1.1899643598038731E-3</v>
      </c>
      <c r="D48">
        <v>0.43224251107053541</v>
      </c>
      <c r="E48">
        <v>-1.997032724607241</v>
      </c>
      <c r="F48">
        <v>0.9994045761234438</v>
      </c>
      <c r="G48">
        <v>0.1979414093428345</v>
      </c>
      <c r="H48">
        <v>68.646269882740995</v>
      </c>
      <c r="I48">
        <v>120.9510040283203</v>
      </c>
    </row>
    <row r="49" spans="1:9" hidden="1" x14ac:dyDescent="0.25">
      <c r="A49" t="s">
        <v>22</v>
      </c>
      <c r="B49">
        <v>0.42953929539295388</v>
      </c>
      <c r="C49">
        <v>0.60094786729857819</v>
      </c>
      <c r="D49">
        <v>0.44324707936275048</v>
      </c>
      <c r="E49">
        <v>-0.53649289099526065</v>
      </c>
      <c r="F49">
        <v>0.52615844544095669</v>
      </c>
      <c r="G49">
        <v>0.17875647668393779</v>
      </c>
      <c r="H49">
        <v>4.0710125597526368</v>
      </c>
      <c r="I49">
        <v>23.526266098022461</v>
      </c>
    </row>
    <row r="50" spans="1:9" hidden="1" x14ac:dyDescent="0.25">
      <c r="A50" t="s">
        <v>15</v>
      </c>
      <c r="B50">
        <v>0</v>
      </c>
      <c r="C50">
        <v>0</v>
      </c>
      <c r="D50">
        <v>0.44880064668510478</v>
      </c>
      <c r="E50">
        <v>-1.839814007555943</v>
      </c>
      <c r="F50">
        <v>1</v>
      </c>
      <c r="G50">
        <v>1</v>
      </c>
      <c r="H50">
        <v>62.855575561523438</v>
      </c>
      <c r="I50">
        <v>77.664497375488281</v>
      </c>
    </row>
    <row r="51" spans="1:9" hidden="1" x14ac:dyDescent="0.25">
      <c r="A51" t="s">
        <v>5</v>
      </c>
      <c r="B51">
        <v>0.40123266563944532</v>
      </c>
      <c r="C51">
        <v>0.57268528700241916</v>
      </c>
      <c r="D51">
        <v>0.45311883187441709</v>
      </c>
      <c r="E51">
        <v>-0.83527600615790631</v>
      </c>
      <c r="F51">
        <v>0.59602854483400558</v>
      </c>
      <c r="G51">
        <v>1.6616314199395771E-2</v>
      </c>
      <c r="H51">
        <v>1.9431274523405719</v>
      </c>
      <c r="I51">
        <v>9.7484760284423828</v>
      </c>
    </row>
    <row r="52" spans="1:9" hidden="1" x14ac:dyDescent="0.25">
      <c r="A52" t="s">
        <v>9</v>
      </c>
      <c r="B52">
        <v>0.1237145528201932</v>
      </c>
      <c r="C52">
        <v>0.2201885745978924</v>
      </c>
      <c r="D52">
        <v>0.47315049743652338</v>
      </c>
      <c r="E52">
        <v>-1.5568496949528561</v>
      </c>
      <c r="F52">
        <v>0.87618899111180415</v>
      </c>
      <c r="G52">
        <v>6.2578222778473091E-3</v>
      </c>
      <c r="H52">
        <v>10.937457659748651</v>
      </c>
      <c r="I52">
        <v>32.375492095947273</v>
      </c>
    </row>
    <row r="53" spans="1:9" hidden="1" x14ac:dyDescent="0.25">
      <c r="A53" t="s">
        <v>30</v>
      </c>
      <c r="B53">
        <v>0.49613003095975228</v>
      </c>
      <c r="C53">
        <v>0.6632177961717538</v>
      </c>
      <c r="D53">
        <v>0.49257202148437501</v>
      </c>
      <c r="E53">
        <v>-0.4852560786342473</v>
      </c>
      <c r="F53">
        <v>0.46627810158201499</v>
      </c>
      <c r="G53">
        <v>0.1243169398907104</v>
      </c>
      <c r="H53">
        <v>0.8989482338010768</v>
      </c>
      <c r="I53">
        <v>3.4802911281585689</v>
      </c>
    </row>
    <row r="54" spans="1:9" hidden="1" x14ac:dyDescent="0.25">
      <c r="A54" t="s">
        <v>5</v>
      </c>
      <c r="B54">
        <v>8.3874422298018108E-4</v>
      </c>
      <c r="C54">
        <v>1.676082641327711E-3</v>
      </c>
      <c r="D54">
        <v>0.50342734266409939</v>
      </c>
      <c r="E54">
        <v>-1.996544474330213</v>
      </c>
      <c r="F54">
        <v>0.99916123408504864</v>
      </c>
      <c r="G54">
        <v>2.9911624745071381E-2</v>
      </c>
      <c r="H54">
        <v>58.614617363796803</v>
      </c>
      <c r="I54">
        <v>99.917800903320313</v>
      </c>
    </row>
    <row r="55" spans="1:9" hidden="1" x14ac:dyDescent="0.25">
      <c r="A55" t="s">
        <v>19</v>
      </c>
      <c r="B55">
        <v>0</v>
      </c>
      <c r="C55">
        <v>0</v>
      </c>
      <c r="D55">
        <v>0.52253589341277251</v>
      </c>
      <c r="E55">
        <v>-0.54393305439330542</v>
      </c>
      <c r="F55">
        <v>1</v>
      </c>
      <c r="G55">
        <v>1</v>
      </c>
      <c r="H55">
        <v>102.0190048217773</v>
      </c>
      <c r="I55">
        <v>107.8014831542969</v>
      </c>
    </row>
    <row r="56" spans="1:9" hidden="1" x14ac:dyDescent="0.25">
      <c r="A56" t="s">
        <v>10</v>
      </c>
      <c r="B56">
        <v>0.23568464730290459</v>
      </c>
      <c r="C56">
        <v>0.38146406984553388</v>
      </c>
      <c r="D56">
        <v>0.53718505859374999</v>
      </c>
      <c r="E56">
        <v>1.196776359973136</v>
      </c>
      <c r="F56">
        <v>5.016722408026756E-2</v>
      </c>
      <c r="G56">
        <v>0.76134453781512601</v>
      </c>
      <c r="H56">
        <v>1.5239328733906761</v>
      </c>
      <c r="I56">
        <v>4.4167923927307129</v>
      </c>
    </row>
    <row r="57" spans="1:9" hidden="1" x14ac:dyDescent="0.25">
      <c r="A57" t="s">
        <v>23</v>
      </c>
      <c r="B57">
        <v>0</v>
      </c>
      <c r="C57">
        <v>0</v>
      </c>
      <c r="D57">
        <v>0.54403474192605716</v>
      </c>
      <c r="E57">
        <v>-1.694239930705933</v>
      </c>
      <c r="F57">
        <v>1</v>
      </c>
      <c r="G57">
        <v>1</v>
      </c>
      <c r="H57">
        <v>43.076168060302727</v>
      </c>
      <c r="I57">
        <v>56.533126831054688</v>
      </c>
    </row>
    <row r="58" spans="1:9" hidden="1" x14ac:dyDescent="0.25">
      <c r="A58" t="s">
        <v>8</v>
      </c>
      <c r="B58">
        <v>0.45876077144029542</v>
      </c>
      <c r="C58">
        <v>0.62897327707454287</v>
      </c>
      <c r="D58">
        <v>0.58119242605705446</v>
      </c>
      <c r="E58">
        <v>-0.66329113924050631</v>
      </c>
      <c r="F58">
        <v>0.52767215885086605</v>
      </c>
      <c r="G58">
        <v>5.8922558922558918E-2</v>
      </c>
      <c r="H58">
        <v>1.4954461302210691</v>
      </c>
      <c r="I58">
        <v>8.4830350875854492</v>
      </c>
    </row>
    <row r="59" spans="1:9" hidden="1" x14ac:dyDescent="0.25">
      <c r="A59" t="s">
        <v>6</v>
      </c>
      <c r="B59">
        <v>0</v>
      </c>
      <c r="C59">
        <v>0</v>
      </c>
      <c r="D59">
        <v>0.58776289244101898</v>
      </c>
      <c r="E59">
        <v>-1.873863445417375</v>
      </c>
      <c r="F59">
        <v>1</v>
      </c>
      <c r="G59">
        <v>1</v>
      </c>
      <c r="H59">
        <v>28.399946212768551</v>
      </c>
      <c r="I59">
        <v>46.455966949462891</v>
      </c>
    </row>
    <row r="60" spans="1:9" hidden="1" x14ac:dyDescent="0.25">
      <c r="A60" t="s">
        <v>8</v>
      </c>
      <c r="B60">
        <v>0.60245464247598723</v>
      </c>
      <c r="C60">
        <v>0.75191475191475188</v>
      </c>
      <c r="D60">
        <v>0.64381248543020508</v>
      </c>
      <c r="E60">
        <v>-0.2470862470862471</v>
      </c>
      <c r="F60">
        <v>0.33076467101363372</v>
      </c>
      <c r="G60">
        <v>0.14209726443769</v>
      </c>
      <c r="H60">
        <v>0.72532243684785291</v>
      </c>
      <c r="I60">
        <v>4.224703311920166</v>
      </c>
    </row>
    <row r="61" spans="1:9" hidden="1" x14ac:dyDescent="0.25">
      <c r="A61" t="s">
        <v>23</v>
      </c>
      <c r="B61">
        <v>6.5268065268065265E-2</v>
      </c>
      <c r="C61">
        <v>0.12253829321663021</v>
      </c>
      <c r="D61">
        <v>0.65654051008640313</v>
      </c>
      <c r="E61">
        <v>1.728665207877462</v>
      </c>
      <c r="F61">
        <v>9.6774193548387094E-2</v>
      </c>
      <c r="G61">
        <v>0.93427230046948362</v>
      </c>
      <c r="H61">
        <v>3.654925634966621</v>
      </c>
      <c r="I61">
        <v>7.0226426124572754</v>
      </c>
    </row>
    <row r="62" spans="1:9" hidden="1" x14ac:dyDescent="0.25">
      <c r="A62" t="s">
        <v>18</v>
      </c>
      <c r="B62">
        <v>0.29440154440154442</v>
      </c>
      <c r="C62">
        <v>0.45488441461595819</v>
      </c>
      <c r="D62">
        <v>0.694610595703125</v>
      </c>
      <c r="E62">
        <v>-0.88242605021128506</v>
      </c>
      <c r="F62">
        <v>0.68437392204208347</v>
      </c>
      <c r="G62">
        <v>0.18594306049822071</v>
      </c>
      <c r="H62">
        <v>3.208414699201998</v>
      </c>
      <c r="I62">
        <v>15</v>
      </c>
    </row>
    <row r="63" spans="1:9" hidden="1" x14ac:dyDescent="0.25">
      <c r="A63" t="s">
        <v>21</v>
      </c>
      <c r="B63">
        <v>0.46739130434782611</v>
      </c>
      <c r="C63">
        <v>0.63703703703703707</v>
      </c>
      <c r="D63">
        <v>0.70133470329473679</v>
      </c>
      <c r="E63">
        <v>0.72592592592592597</v>
      </c>
      <c r="F63">
        <v>0</v>
      </c>
      <c r="G63">
        <v>0.53260869565217395</v>
      </c>
      <c r="H63">
        <v>0.43286871056497828</v>
      </c>
      <c r="I63">
        <v>2.8515625</v>
      </c>
    </row>
    <row r="64" spans="1:9" hidden="1" x14ac:dyDescent="0.25">
      <c r="A64" t="s">
        <v>27</v>
      </c>
      <c r="B64">
        <v>0.63797692990239574</v>
      </c>
      <c r="C64">
        <v>0.77898158179848331</v>
      </c>
      <c r="D64">
        <v>0.74327046689104459</v>
      </c>
      <c r="E64">
        <v>-0.15384615384615391</v>
      </c>
      <c r="F64">
        <v>0.27665995975855129</v>
      </c>
      <c r="G64">
        <v>0.1561032863849765</v>
      </c>
      <c r="H64">
        <v>0.5481064193274664</v>
      </c>
      <c r="I64">
        <v>3.0036864280700679</v>
      </c>
    </row>
    <row r="65" spans="1:13" hidden="1" x14ac:dyDescent="0.25">
      <c r="A65" t="s">
        <v>30</v>
      </c>
      <c r="B65">
        <v>0.70234325522482588</v>
      </c>
      <c r="C65">
        <v>0.82514880952380953</v>
      </c>
      <c r="D65">
        <v>0.76577453613281254</v>
      </c>
      <c r="E65">
        <v>-0.30654761904761912</v>
      </c>
      <c r="F65">
        <v>0.28451612903225809</v>
      </c>
      <c r="G65">
        <v>2.5483304042179258E-2</v>
      </c>
      <c r="H65">
        <v>0.50373311344913874</v>
      </c>
      <c r="I65">
        <v>6.1356034278869629</v>
      </c>
    </row>
    <row r="66" spans="1:13" hidden="1" x14ac:dyDescent="0.25">
      <c r="A66" t="s">
        <v>24</v>
      </c>
      <c r="B66">
        <v>0.49274486094316811</v>
      </c>
      <c r="C66">
        <v>0.66018631024706365</v>
      </c>
      <c r="D66">
        <v>0.7996314277648926</v>
      </c>
      <c r="E66">
        <v>0.3151073309031997</v>
      </c>
      <c r="F66">
        <v>0.21634615384615391</v>
      </c>
      <c r="G66">
        <v>0.42967109867039888</v>
      </c>
      <c r="H66">
        <v>1.0668081982916551</v>
      </c>
      <c r="I66">
        <v>7.3730368614196777</v>
      </c>
    </row>
    <row r="67" spans="1:13" hidden="1" x14ac:dyDescent="0.25">
      <c r="A67" t="s">
        <v>30</v>
      </c>
      <c r="B67">
        <v>0.49303503588011821</v>
      </c>
      <c r="C67">
        <v>0.66044670624823298</v>
      </c>
      <c r="D67">
        <v>0.8074951171875</v>
      </c>
      <c r="E67">
        <v>-0.64291772688719251</v>
      </c>
      <c r="F67">
        <v>0.50021394950791609</v>
      </c>
      <c r="G67">
        <v>2.6666666666666668E-2</v>
      </c>
      <c r="H67">
        <v>1.297004425583254</v>
      </c>
      <c r="I67">
        <v>5.17364501953125</v>
      </c>
    </row>
    <row r="68" spans="1:13" hidden="1" x14ac:dyDescent="0.25">
      <c r="A68" t="s">
        <v>23</v>
      </c>
      <c r="B68">
        <v>0</v>
      </c>
      <c r="C68">
        <v>0</v>
      </c>
      <c r="D68">
        <v>0.8337756243116059</v>
      </c>
      <c r="E68">
        <v>0.58233890214797135</v>
      </c>
      <c r="F68">
        <v>1</v>
      </c>
      <c r="G68">
        <v>1</v>
      </c>
      <c r="H68">
        <v>31.041091918945309</v>
      </c>
      <c r="I68">
        <v>37.546077728271477</v>
      </c>
    </row>
    <row r="69" spans="1:13" hidden="1" x14ac:dyDescent="0.25">
      <c r="A69" t="s">
        <v>6</v>
      </c>
      <c r="B69">
        <v>0.39813460131675199</v>
      </c>
      <c r="C69">
        <v>0.56952256376716803</v>
      </c>
      <c r="D69">
        <v>0.84075497225429352</v>
      </c>
      <c r="E69">
        <v>-0.73590582079790712</v>
      </c>
      <c r="F69">
        <v>0.58366800535475238</v>
      </c>
      <c r="G69">
        <v>9.8923841059602655E-2</v>
      </c>
      <c r="H69">
        <v>1.415631691135731</v>
      </c>
      <c r="I69">
        <v>4.9000015258789063</v>
      </c>
    </row>
    <row r="70" spans="1:13" hidden="1" x14ac:dyDescent="0.25">
      <c r="A70" t="s">
        <v>29</v>
      </c>
      <c r="B70">
        <v>0</v>
      </c>
      <c r="C70">
        <v>0</v>
      </c>
      <c r="D70">
        <v>0.86771707370644435</v>
      </c>
      <c r="E70">
        <v>0.63082901554404147</v>
      </c>
      <c r="F70">
        <v>1</v>
      </c>
      <c r="G70">
        <v>1</v>
      </c>
      <c r="H70">
        <v>38.953952789306641</v>
      </c>
      <c r="I70">
        <v>44.427539825439453</v>
      </c>
    </row>
    <row r="71" spans="1:13" hidden="1" x14ac:dyDescent="0.25">
      <c r="A71" t="s">
        <v>24</v>
      </c>
      <c r="B71">
        <v>0.65962732919254663</v>
      </c>
      <c r="C71">
        <v>0.79491017964071864</v>
      </c>
      <c r="D71">
        <v>0.91938029098510743</v>
      </c>
      <c r="E71">
        <v>-0.3602794411177645</v>
      </c>
      <c r="F71">
        <v>0.32642706131078231</v>
      </c>
      <c r="G71">
        <v>3.0432136335970781E-2</v>
      </c>
      <c r="H71">
        <v>0.68888313854484073</v>
      </c>
      <c r="I71">
        <v>3</v>
      </c>
    </row>
    <row r="72" spans="1:13" hidden="1" x14ac:dyDescent="0.25">
      <c r="A72" t="s">
        <v>30</v>
      </c>
      <c r="B72">
        <v>0.67487120778477394</v>
      </c>
      <c r="C72">
        <v>0.80587833219412175</v>
      </c>
      <c r="D72">
        <v>0.94947967529296873</v>
      </c>
      <c r="E72">
        <v>-7.1086807928913198E-2</v>
      </c>
      <c r="F72">
        <v>0.22178217821782181</v>
      </c>
      <c r="G72">
        <v>0.16442239546420981</v>
      </c>
      <c r="H72">
        <v>0.53359252599147866</v>
      </c>
      <c r="I72">
        <v>3.1221568584442139</v>
      </c>
    </row>
    <row r="73" spans="1:13" hidden="1" x14ac:dyDescent="0.25">
      <c r="A73" t="s">
        <v>9</v>
      </c>
      <c r="B73">
        <v>0.61979166666666663</v>
      </c>
      <c r="C73">
        <v>0.76527331189710612</v>
      </c>
      <c r="D73">
        <v>0.96465852355957027</v>
      </c>
      <c r="E73">
        <v>-0.38832550086569378</v>
      </c>
      <c r="F73">
        <v>0.35915492957746481</v>
      </c>
      <c r="G73">
        <v>5.0337630448127689E-2</v>
      </c>
      <c r="H73">
        <v>0.7140648527888952</v>
      </c>
      <c r="I73">
        <v>3.84765625</v>
      </c>
    </row>
    <row r="74" spans="1:13" x14ac:dyDescent="0.25">
      <c r="A74" t="s">
        <v>11</v>
      </c>
      <c r="B74">
        <v>0.33459552495697081</v>
      </c>
      <c r="C74">
        <v>0.50141862264637604</v>
      </c>
      <c r="D74">
        <v>1.0084883731758869</v>
      </c>
      <c r="E74">
        <v>0.98994067578024247</v>
      </c>
      <c r="F74">
        <v>7.1501532175689483E-3</v>
      </c>
      <c r="G74">
        <v>0.6645962732919255</v>
      </c>
      <c r="H74">
        <v>1.7154635143680119</v>
      </c>
      <c r="I74">
        <v>6.1726031303405762</v>
      </c>
    </row>
    <row r="75" spans="1:13" x14ac:dyDescent="0.25">
      <c r="A75" t="s">
        <v>9</v>
      </c>
      <c r="B75">
        <v>0.74577046181984452</v>
      </c>
      <c r="C75">
        <v>0.85437401781037192</v>
      </c>
      <c r="D75">
        <v>1.0132171478271479</v>
      </c>
      <c r="E75">
        <v>-0.20743844944997381</v>
      </c>
      <c r="F75">
        <v>0.22591362126245851</v>
      </c>
      <c r="G75">
        <v>4.6756282875511403E-2</v>
      </c>
      <c r="H75">
        <v>0.39987170892561269</v>
      </c>
      <c r="I75">
        <v>2.5158705711364751</v>
      </c>
    </row>
    <row r="76" spans="1:13" x14ac:dyDescent="0.25">
      <c r="A76" t="s">
        <v>24</v>
      </c>
      <c r="B76">
        <v>0.67063339731285987</v>
      </c>
      <c r="C76">
        <v>0.80284926470588225</v>
      </c>
      <c r="D76">
        <v>1.017305763244629</v>
      </c>
      <c r="E76">
        <v>-0.32904411764705882</v>
      </c>
      <c r="F76">
        <v>0.31057616416732442</v>
      </c>
      <c r="G76">
        <v>3.9053905390539052E-2</v>
      </c>
      <c r="H76">
        <v>0.63372998568462546</v>
      </c>
      <c r="I76">
        <v>4.5865201950073242</v>
      </c>
      <c r="K76" s="4" t="s">
        <v>31</v>
      </c>
      <c r="L76" s="4"/>
      <c r="M76" s="4"/>
    </row>
    <row r="77" spans="1:13" x14ac:dyDescent="0.25">
      <c r="A77" t="s">
        <v>5</v>
      </c>
      <c r="B77">
        <v>0.64393268379096547</v>
      </c>
      <c r="C77">
        <v>0.78340517241379304</v>
      </c>
      <c r="D77">
        <v>1.0486073269359619</v>
      </c>
      <c r="E77">
        <v>-0.34913793103448282</v>
      </c>
      <c r="F77">
        <v>0.33302752293577981</v>
      </c>
      <c r="G77">
        <v>5.0913838120104443E-2</v>
      </c>
      <c r="H77">
        <v>0.98457148951642659</v>
      </c>
      <c r="I77">
        <v>14.00434494018555</v>
      </c>
      <c r="J77" t="s">
        <v>45</v>
      </c>
      <c r="K77" t="s">
        <v>33</v>
      </c>
      <c r="L77" t="s">
        <v>34</v>
      </c>
      <c r="M77" t="s">
        <v>35</v>
      </c>
    </row>
    <row r="78" spans="1:13" x14ac:dyDescent="0.25">
      <c r="A78" t="s">
        <v>10</v>
      </c>
      <c r="B78">
        <v>0.71847948814452389</v>
      </c>
      <c r="C78">
        <v>0.83618046430135795</v>
      </c>
      <c r="D78">
        <v>1.1375683593749999</v>
      </c>
      <c r="E78">
        <v>0.2076215505913272</v>
      </c>
      <c r="F78">
        <v>6.6959921798631472E-2</v>
      </c>
      <c r="G78">
        <v>0.24246031746031749</v>
      </c>
      <c r="H78">
        <v>0.46671639472873372</v>
      </c>
      <c r="I78">
        <v>3.0743155479431148</v>
      </c>
      <c r="J78">
        <f>AVERAGE(C74:C139)</f>
        <v>0.67287133737855687</v>
      </c>
      <c r="K78">
        <f>MEDIAN(C74:C139)</f>
        <v>0.76428895443013756</v>
      </c>
      <c r="L78">
        <f>MIN(C74:C139)</f>
        <v>0</v>
      </c>
      <c r="M78">
        <f>MAX(C74:C139)</f>
        <v>0.95466424329655375</v>
      </c>
    </row>
    <row r="79" spans="1:13" x14ac:dyDescent="0.25">
      <c r="A79" t="s">
        <v>13</v>
      </c>
      <c r="B79">
        <v>0</v>
      </c>
      <c r="C79">
        <v>0</v>
      </c>
      <c r="D79">
        <v>1.280122201700181</v>
      </c>
      <c r="E79">
        <v>4.6646176098354718E-2</v>
      </c>
      <c r="F79">
        <v>1</v>
      </c>
      <c r="G79">
        <v>1</v>
      </c>
      <c r="H79">
        <v>16.122871398925781</v>
      </c>
      <c r="I79">
        <v>25.083011627197269</v>
      </c>
      <c r="K79" s="4" t="s">
        <v>39</v>
      </c>
      <c r="L79" s="4"/>
      <c r="M79" s="4"/>
    </row>
    <row r="80" spans="1:13" x14ac:dyDescent="0.25">
      <c r="A80" t="s">
        <v>28</v>
      </c>
      <c r="B80">
        <v>3.0738764508498821E-2</v>
      </c>
      <c r="C80">
        <v>5.9644141788256888E-2</v>
      </c>
      <c r="D80">
        <v>1.365824754928781</v>
      </c>
      <c r="E80">
        <v>-1.8804982441908871</v>
      </c>
      <c r="F80">
        <v>0.96925954450434593</v>
      </c>
      <c r="G80">
        <v>1.786352268667381E-3</v>
      </c>
      <c r="H80">
        <v>21.23704187066452</v>
      </c>
      <c r="I80">
        <v>57.883140563964837</v>
      </c>
      <c r="K80" t="s">
        <v>33</v>
      </c>
      <c r="L80" t="s">
        <v>34</v>
      </c>
      <c r="M80" t="s">
        <v>35</v>
      </c>
    </row>
    <row r="81" spans="1:13" x14ac:dyDescent="0.25">
      <c r="A81" t="s">
        <v>12</v>
      </c>
      <c r="B81">
        <v>0.27680096453330649</v>
      </c>
      <c r="C81">
        <v>0.4335851432168713</v>
      </c>
      <c r="D81">
        <v>1.4620907249450681</v>
      </c>
      <c r="E81">
        <v>-1.0207743153918789</v>
      </c>
      <c r="F81">
        <v>0.71293112430968009</v>
      </c>
      <c r="G81">
        <v>0.1144326583092253</v>
      </c>
      <c r="H81">
        <v>7.1877119804688956</v>
      </c>
      <c r="I81">
        <v>24.880512237548832</v>
      </c>
      <c r="K81">
        <f>MEDIAN(H73:H138)</f>
        <v>1.0158430011302264</v>
      </c>
      <c r="L81">
        <f>MIN(H74:H139)</f>
        <v>0.39987170892561269</v>
      </c>
      <c r="M81">
        <f>MAX(H73:H138)</f>
        <v>103.38479489681799</v>
      </c>
    </row>
    <row r="82" spans="1:13" x14ac:dyDescent="0.25">
      <c r="A82" t="s">
        <v>21</v>
      </c>
      <c r="B82">
        <v>0.52224052718286651</v>
      </c>
      <c r="C82">
        <v>0.68614718614718606</v>
      </c>
      <c r="D82">
        <v>1.5348049303986271</v>
      </c>
      <c r="E82">
        <v>0.61471861471861466</v>
      </c>
      <c r="F82">
        <v>9.3749999999999997E-3</v>
      </c>
      <c r="G82">
        <v>0.47516556291390732</v>
      </c>
      <c r="H82">
        <v>0.59270973277814465</v>
      </c>
      <c r="I82">
        <v>5.7031288146972656</v>
      </c>
      <c r="K82" s="4" t="s">
        <v>40</v>
      </c>
      <c r="L82" s="4"/>
      <c r="M82" s="4"/>
    </row>
    <row r="83" spans="1:13" x14ac:dyDescent="0.25">
      <c r="A83" t="s">
        <v>14</v>
      </c>
      <c r="B83">
        <v>0.70313289540171808</v>
      </c>
      <c r="C83">
        <v>0.82569351728230234</v>
      </c>
      <c r="D83">
        <v>1.5590632438659671</v>
      </c>
      <c r="E83">
        <v>-7.5656430796617713E-2</v>
      </c>
      <c r="F83">
        <v>0.20440251572327051</v>
      </c>
      <c r="G83">
        <v>0.14184397163120571</v>
      </c>
      <c r="H83">
        <v>0.56044119420067773</v>
      </c>
      <c r="I83">
        <v>2.9677386283874512</v>
      </c>
      <c r="K83" t="s">
        <v>33</v>
      </c>
      <c r="L83" t="s">
        <v>34</v>
      </c>
      <c r="M83" t="s">
        <v>35</v>
      </c>
    </row>
    <row r="84" spans="1:13" x14ac:dyDescent="0.25">
      <c r="A84" t="s">
        <v>17</v>
      </c>
      <c r="B84">
        <v>0.29690346083788699</v>
      </c>
      <c r="C84">
        <v>0.4578651685393258</v>
      </c>
      <c r="D84">
        <v>1.569270088033677</v>
      </c>
      <c r="E84">
        <v>1.050561797752809</v>
      </c>
      <c r="F84">
        <v>3.5502958579881658E-2</v>
      </c>
      <c r="G84">
        <v>0.69981583793738489</v>
      </c>
      <c r="H84">
        <v>2.4634335661492148</v>
      </c>
      <c r="I84">
        <v>4.8192343711853027</v>
      </c>
      <c r="K84">
        <f>MEDIAN(I74:I139)</f>
        <v>8.9233250617980957</v>
      </c>
      <c r="L84">
        <f>MIN(I74:I139)</f>
        <v>2.5158705711364751</v>
      </c>
      <c r="M84">
        <f>MAX(I74:I139)</f>
        <v>190.0780029296875</v>
      </c>
    </row>
    <row r="85" spans="1:13" x14ac:dyDescent="0.25">
      <c r="A85" t="s">
        <v>10</v>
      </c>
      <c r="B85">
        <v>0.61578657865786579</v>
      </c>
      <c r="C85">
        <v>0.7622127659574468</v>
      </c>
      <c r="D85">
        <v>1.5867272949218749</v>
      </c>
      <c r="E85">
        <v>0.39319148936170212</v>
      </c>
      <c r="F85">
        <v>5.1271186440677963E-2</v>
      </c>
      <c r="G85">
        <v>0.36301564722617352</v>
      </c>
      <c r="H85">
        <v>0.78499081920454261</v>
      </c>
      <c r="I85">
        <v>4.1534295082092294</v>
      </c>
    </row>
    <row r="86" spans="1:13" x14ac:dyDescent="0.25">
      <c r="A86" t="s">
        <v>29</v>
      </c>
      <c r="B86">
        <v>0.6193877551020408</v>
      </c>
      <c r="C86">
        <v>0.76496534341524891</v>
      </c>
      <c r="D86">
        <v>1.6504141091718341</v>
      </c>
      <c r="E86">
        <v>0.43415248897290493</v>
      </c>
      <c r="F86">
        <v>2.2937625754527159E-2</v>
      </c>
      <c r="G86">
        <v>0.37147294848563289</v>
      </c>
      <c r="H86">
        <v>0.73235182723535697</v>
      </c>
      <c r="I86">
        <v>3.4999237060546879</v>
      </c>
    </row>
    <row r="87" spans="1:13" x14ac:dyDescent="0.25">
      <c r="A87" t="s">
        <v>23</v>
      </c>
      <c r="B87">
        <v>0</v>
      </c>
      <c r="C87">
        <v>0</v>
      </c>
      <c r="D87">
        <v>1.7569393931889661</v>
      </c>
      <c r="E87">
        <v>-1.1563367252543939</v>
      </c>
      <c r="F87">
        <v>1</v>
      </c>
      <c r="G87">
        <v>1</v>
      </c>
      <c r="H87">
        <v>57.246025085449219</v>
      </c>
      <c r="I87">
        <v>69.941688537597656</v>
      </c>
    </row>
    <row r="88" spans="1:13" x14ac:dyDescent="0.25">
      <c r="A88" t="s">
        <v>29</v>
      </c>
      <c r="B88">
        <v>0.61761592208342153</v>
      </c>
      <c r="C88">
        <v>0.7636125654450262</v>
      </c>
      <c r="D88">
        <v>1.880267277883831</v>
      </c>
      <c r="E88">
        <v>0.3041884816753927</v>
      </c>
      <c r="F88">
        <v>9.9413399197283106E-2</v>
      </c>
      <c r="G88">
        <v>0.3371960917973188</v>
      </c>
      <c r="H88">
        <v>0.99156284430461339</v>
      </c>
      <c r="I88">
        <v>5.3026981353759766</v>
      </c>
    </row>
    <row r="89" spans="1:13" x14ac:dyDescent="0.25">
      <c r="A89" t="s">
        <v>27</v>
      </c>
      <c r="B89">
        <v>0</v>
      </c>
      <c r="C89">
        <v>0</v>
      </c>
      <c r="D89">
        <v>1.968387241934852</v>
      </c>
      <c r="E89">
        <v>-0.94968773032313125</v>
      </c>
      <c r="F89">
        <v>1</v>
      </c>
      <c r="G89">
        <v>1</v>
      </c>
      <c r="H89">
        <v>28.005649566650391</v>
      </c>
      <c r="I89">
        <v>72.729156494140625</v>
      </c>
    </row>
    <row r="90" spans="1:13" x14ac:dyDescent="0.25">
      <c r="A90" t="s">
        <v>21</v>
      </c>
      <c r="B90">
        <v>0.53409090909090906</v>
      </c>
      <c r="C90">
        <v>0.69629629629629619</v>
      </c>
      <c r="D90">
        <v>2.0074435347929058</v>
      </c>
      <c r="E90">
        <v>0.60082304526748975</v>
      </c>
      <c r="F90">
        <v>4.7058823529411761E-3</v>
      </c>
      <c r="G90">
        <v>0.46455696202531638</v>
      </c>
      <c r="H90">
        <v>0.79379973814855165</v>
      </c>
      <c r="I90">
        <v>5</v>
      </c>
    </row>
    <row r="91" spans="1:13" x14ac:dyDescent="0.25">
      <c r="A91" t="s">
        <v>11</v>
      </c>
      <c r="B91">
        <v>0.60400067808103064</v>
      </c>
      <c r="C91">
        <v>0.75311773409427185</v>
      </c>
      <c r="D91">
        <v>2.0201086978212639</v>
      </c>
      <c r="E91">
        <v>0.4540266328471782</v>
      </c>
      <c r="F91">
        <v>2.5704129067541701E-2</v>
      </c>
      <c r="G91">
        <v>0.38621877691645129</v>
      </c>
      <c r="H91">
        <v>0.94212308366276576</v>
      </c>
      <c r="I91">
        <v>3.7931995391845699</v>
      </c>
    </row>
    <row r="92" spans="1:13" x14ac:dyDescent="0.25">
      <c r="A92" t="s">
        <v>21</v>
      </c>
      <c r="B92">
        <v>0.68013468013468015</v>
      </c>
      <c r="C92">
        <v>0.80961923847695394</v>
      </c>
      <c r="D92">
        <v>2.1090862454153321</v>
      </c>
      <c r="E92">
        <v>0.21776887107548429</v>
      </c>
      <c r="F92">
        <v>9.145427286356822E-2</v>
      </c>
      <c r="G92">
        <v>0.26987951807228922</v>
      </c>
      <c r="H92">
        <v>0.66402713083035769</v>
      </c>
      <c r="I92">
        <v>5.1006298065185547</v>
      </c>
    </row>
    <row r="93" spans="1:13" x14ac:dyDescent="0.25">
      <c r="A93" t="s">
        <v>15</v>
      </c>
      <c r="B93">
        <v>0.49529359031824288</v>
      </c>
      <c r="C93">
        <v>0.66247002398081534</v>
      </c>
      <c r="D93">
        <v>2.1873331953099879</v>
      </c>
      <c r="E93">
        <v>1.3189448441247E-2</v>
      </c>
      <c r="F93">
        <v>0.3331321665660833</v>
      </c>
      <c r="G93">
        <v>0.34187016081000587</v>
      </c>
      <c r="H93">
        <v>1.2052610167940641</v>
      </c>
      <c r="I93">
        <v>9.3371610641479492</v>
      </c>
    </row>
    <row r="94" spans="1:13" x14ac:dyDescent="0.25">
      <c r="A94" t="s">
        <v>8</v>
      </c>
      <c r="B94">
        <v>0.29082047116165721</v>
      </c>
      <c r="C94">
        <v>0.45059786028949023</v>
      </c>
      <c r="D94">
        <v>2.277315440484502</v>
      </c>
      <c r="E94">
        <v>0.92951541850220265</v>
      </c>
      <c r="F94">
        <v>0.1581422692533804</v>
      </c>
      <c r="G94">
        <v>0.69237379162191193</v>
      </c>
      <c r="H94">
        <v>2.4691066088196099</v>
      </c>
      <c r="I94">
        <v>11.4430685043335</v>
      </c>
    </row>
    <row r="95" spans="1:13" x14ac:dyDescent="0.25">
      <c r="A95" t="s">
        <v>11</v>
      </c>
      <c r="B95">
        <v>0.76230294722412606</v>
      </c>
      <c r="C95">
        <v>0.86512134411947728</v>
      </c>
      <c r="D95">
        <v>2.3044202923294419</v>
      </c>
      <c r="E95">
        <v>6.0360920970752963E-2</v>
      </c>
      <c r="F95">
        <v>0.10795636830285529</v>
      </c>
      <c r="G95">
        <v>0.16022349743279979</v>
      </c>
      <c r="H95">
        <v>0.52437708006714878</v>
      </c>
      <c r="I95">
        <v>2.542195320129395</v>
      </c>
    </row>
    <row r="96" spans="1:13" x14ac:dyDescent="0.25">
      <c r="A96" t="s">
        <v>6</v>
      </c>
      <c r="B96">
        <v>0.65648467627359453</v>
      </c>
      <c r="C96">
        <v>0.7926239049194389</v>
      </c>
      <c r="D96">
        <v>2.322864006538663</v>
      </c>
      <c r="E96">
        <v>-0.36427127366292961</v>
      </c>
      <c r="F96">
        <v>0.3294983416252073</v>
      </c>
      <c r="G96">
        <v>3.086142322097378E-2</v>
      </c>
      <c r="H96">
        <v>0.83498711501322975</v>
      </c>
      <c r="I96">
        <v>3.4500300884246831</v>
      </c>
    </row>
    <row r="97" spans="1:9" x14ac:dyDescent="0.25">
      <c r="A97" t="s">
        <v>10</v>
      </c>
      <c r="B97">
        <v>0.71865218191861535</v>
      </c>
      <c r="C97">
        <v>0.83629740732804803</v>
      </c>
      <c r="D97">
        <v>2.3640656738281249</v>
      </c>
      <c r="E97">
        <v>0.24426826655238909</v>
      </c>
      <c r="F97">
        <v>4.7351720771296069E-2</v>
      </c>
      <c r="G97">
        <v>0.25472598816116099</v>
      </c>
      <c r="H97">
        <v>0.6174765700556667</v>
      </c>
      <c r="I97">
        <v>4.0560345649719238</v>
      </c>
    </row>
    <row r="98" spans="1:9" x14ac:dyDescent="0.25">
      <c r="A98" t="s">
        <v>15</v>
      </c>
      <c r="B98">
        <v>1.811851874544575E-3</v>
      </c>
      <c r="C98">
        <v>3.6171500090647181E-3</v>
      </c>
      <c r="D98">
        <v>2.4179216262628569</v>
      </c>
      <c r="E98">
        <v>-1.991891992250213</v>
      </c>
      <c r="F98">
        <v>0.99818775156437745</v>
      </c>
      <c r="G98">
        <v>0.10775862068965519</v>
      </c>
      <c r="H98">
        <v>103.38479489681799</v>
      </c>
      <c r="I98">
        <v>190.0780029296875</v>
      </c>
    </row>
    <row r="99" spans="1:9" x14ac:dyDescent="0.25">
      <c r="A99" t="s">
        <v>6</v>
      </c>
      <c r="B99">
        <v>0.69901559369283039</v>
      </c>
      <c r="C99">
        <v>0.82284776701020357</v>
      </c>
      <c r="D99">
        <v>2.8076204950942221</v>
      </c>
      <c r="E99">
        <v>-0.34528021330051789</v>
      </c>
      <c r="F99">
        <v>0.29829470922606027</v>
      </c>
      <c r="G99">
        <v>5.4536440257808624E-3</v>
      </c>
      <c r="H99">
        <v>0.83137663526795724</v>
      </c>
      <c r="I99">
        <v>3.5942142009735112</v>
      </c>
    </row>
    <row r="100" spans="1:9" x14ac:dyDescent="0.25">
      <c r="A100" t="s">
        <v>5</v>
      </c>
      <c r="B100">
        <v>0.67840080462660302</v>
      </c>
      <c r="C100">
        <v>0.80838951310861429</v>
      </c>
      <c r="D100">
        <v>2.8429442117679629</v>
      </c>
      <c r="E100">
        <v>-0.34067415730337081</v>
      </c>
      <c r="F100">
        <v>0.3092677931387609</v>
      </c>
      <c r="G100">
        <v>2.564102564102564E-2</v>
      </c>
      <c r="H100">
        <v>1.0122910445965481</v>
      </c>
      <c r="I100">
        <v>7.7581648826599121</v>
      </c>
    </row>
    <row r="101" spans="1:9" x14ac:dyDescent="0.25">
      <c r="A101" t="s">
        <v>27</v>
      </c>
      <c r="B101">
        <v>0.57715228752177505</v>
      </c>
      <c r="C101">
        <v>0.7318916405069178</v>
      </c>
      <c r="D101">
        <v>2.9797701385886279</v>
      </c>
      <c r="E101">
        <v>0.38274619230322049</v>
      </c>
      <c r="F101">
        <v>9.4895758447160319E-2</v>
      </c>
      <c r="G101">
        <v>0.38567385576266222</v>
      </c>
      <c r="H101">
        <v>1.240878923588161</v>
      </c>
      <c r="I101">
        <v>5.9422845840454102</v>
      </c>
    </row>
    <row r="102" spans="1:9" x14ac:dyDescent="0.25">
      <c r="A102" t="s">
        <v>25</v>
      </c>
      <c r="B102">
        <v>0.75491356855316127</v>
      </c>
      <c r="C102">
        <v>0.86034273377411963</v>
      </c>
      <c r="D102">
        <v>3.6552238464355469</v>
      </c>
      <c r="E102">
        <v>0.1109162056402645</v>
      </c>
      <c r="F102">
        <v>8.9142857142857149E-2</v>
      </c>
      <c r="G102">
        <v>0.18486320634108919</v>
      </c>
      <c r="H102">
        <v>0.54896523308946443</v>
      </c>
      <c r="I102">
        <v>3.174099206924438</v>
      </c>
    </row>
    <row r="103" spans="1:9" x14ac:dyDescent="0.25">
      <c r="A103" t="s">
        <v>18</v>
      </c>
      <c r="B103">
        <v>0.58624766032903164</v>
      </c>
      <c r="C103">
        <v>0.739162836914669</v>
      </c>
      <c r="D103">
        <v>3.9186172485351558</v>
      </c>
      <c r="E103">
        <v>-0.42479195131039621</v>
      </c>
      <c r="F103">
        <v>0.39032885974797671</v>
      </c>
      <c r="G103">
        <v>6.150449455921779E-2</v>
      </c>
      <c r="H103">
        <v>2.285425363098764</v>
      </c>
      <c r="I103">
        <v>22.7236328125</v>
      </c>
    </row>
    <row r="104" spans="1:9" x14ac:dyDescent="0.25">
      <c r="A104" t="s">
        <v>16</v>
      </c>
      <c r="B104">
        <v>0.57228060210167564</v>
      </c>
      <c r="C104">
        <v>0.72796242774566466</v>
      </c>
      <c r="D104">
        <v>4.1176336343413578</v>
      </c>
      <c r="E104">
        <v>-0.29696531791907521</v>
      </c>
      <c r="F104">
        <v>0.36615287826360488</v>
      </c>
      <c r="G104">
        <v>0.14509970301230379</v>
      </c>
      <c r="H104">
        <v>3.075603513641989</v>
      </c>
      <c r="I104">
        <v>28.635774612426761</v>
      </c>
    </row>
    <row r="105" spans="1:9" x14ac:dyDescent="0.25">
      <c r="A105" t="s">
        <v>22</v>
      </c>
      <c r="B105">
        <v>7.1827574274556327E-2</v>
      </c>
      <c r="C105">
        <v>0.1340282261783968</v>
      </c>
      <c r="D105">
        <v>4.3050085505983207</v>
      </c>
      <c r="E105">
        <v>-1.6541831934323401</v>
      </c>
      <c r="F105">
        <v>0.92664394799949512</v>
      </c>
      <c r="G105">
        <v>0.22485996265670849</v>
      </c>
      <c r="H105">
        <v>21.679711535980111</v>
      </c>
      <c r="I105">
        <v>64.168434143066406</v>
      </c>
    </row>
    <row r="106" spans="1:9" x14ac:dyDescent="0.25">
      <c r="A106" t="s">
        <v>9</v>
      </c>
      <c r="B106">
        <v>0.70090778786430963</v>
      </c>
      <c r="C106">
        <v>0.82415730337078652</v>
      </c>
      <c r="D106">
        <v>4.3844884643554689</v>
      </c>
      <c r="E106">
        <v>-0.33617977528089887</v>
      </c>
      <c r="F106">
        <v>0.29444016929588301</v>
      </c>
      <c r="G106">
        <v>9.3192868719611018E-3</v>
      </c>
      <c r="H106">
        <v>0.90770911356077244</v>
      </c>
      <c r="I106">
        <v>3.9754822254180908</v>
      </c>
    </row>
    <row r="107" spans="1:9" x14ac:dyDescent="0.25">
      <c r="A107" t="s">
        <v>24</v>
      </c>
      <c r="B107">
        <v>0.71620132255694346</v>
      </c>
      <c r="C107">
        <v>0.83463555603125339</v>
      </c>
      <c r="D107">
        <v>4.4016100845336918</v>
      </c>
      <c r="E107">
        <v>-0.31617253558814079</v>
      </c>
      <c r="F107">
        <v>0.27929759704251389</v>
      </c>
      <c r="G107">
        <v>8.6448004068141373E-3</v>
      </c>
      <c r="H107">
        <v>0.84750978716323599</v>
      </c>
      <c r="I107">
        <v>3.2423386573791499</v>
      </c>
    </row>
    <row r="108" spans="1:9" x14ac:dyDescent="0.25">
      <c r="A108" t="s">
        <v>30</v>
      </c>
      <c r="B108">
        <v>0.68749361919346608</v>
      </c>
      <c r="C108">
        <v>0.81481033335349984</v>
      </c>
      <c r="D108">
        <v>4.6222366333007816</v>
      </c>
      <c r="E108">
        <v>-0.33770948030733861</v>
      </c>
      <c r="F108">
        <v>0.30289855072463773</v>
      </c>
      <c r="G108">
        <v>1.9653515795603441E-2</v>
      </c>
      <c r="H108">
        <v>0.96252949155913636</v>
      </c>
      <c r="I108">
        <v>3.9293146133422852</v>
      </c>
    </row>
    <row r="109" spans="1:9" x14ac:dyDescent="0.25">
      <c r="A109" t="s">
        <v>17</v>
      </c>
      <c r="B109">
        <v>0.43369852663392522</v>
      </c>
      <c r="C109">
        <v>0.60500658761528325</v>
      </c>
      <c r="D109">
        <v>5.9505103338146252</v>
      </c>
      <c r="E109">
        <v>0.17022397891963109</v>
      </c>
      <c r="F109">
        <v>0.33870967741935482</v>
      </c>
      <c r="G109">
        <v>0.44244779018941233</v>
      </c>
      <c r="H109">
        <v>2.4070442251328679</v>
      </c>
      <c r="I109">
        <v>20.808952331542969</v>
      </c>
    </row>
    <row r="110" spans="1:9" x14ac:dyDescent="0.25">
      <c r="A110" t="s">
        <v>6</v>
      </c>
      <c r="B110">
        <v>6.8467233750949694E-2</v>
      </c>
      <c r="C110">
        <v>0.12815972561103131</v>
      </c>
      <c r="D110">
        <v>6.4681757737129777</v>
      </c>
      <c r="E110">
        <v>-1.740850215412072</v>
      </c>
      <c r="F110">
        <v>0.93148096382847878</v>
      </c>
      <c r="G110">
        <v>1.092161187927046E-2</v>
      </c>
      <c r="H110">
        <v>31.629136240317958</v>
      </c>
      <c r="I110">
        <v>85.294807434082031</v>
      </c>
    </row>
    <row r="111" spans="1:9" x14ac:dyDescent="0.25">
      <c r="A111" t="s">
        <v>15</v>
      </c>
      <c r="B111">
        <v>0.59525371176435515</v>
      </c>
      <c r="C111">
        <v>0.74628092995439943</v>
      </c>
      <c r="D111">
        <v>6.6688258646764904</v>
      </c>
      <c r="E111">
        <v>-0.46931299992524478</v>
      </c>
      <c r="F111">
        <v>0.39555582465488009</v>
      </c>
      <c r="G111">
        <v>2.490720843914827E-2</v>
      </c>
      <c r="H111">
        <v>1.6321411831528361</v>
      </c>
      <c r="I111">
        <v>7.4028277397155762</v>
      </c>
    </row>
    <row r="112" spans="1:9" x14ac:dyDescent="0.25">
      <c r="A112" t="s">
        <v>23</v>
      </c>
      <c r="B112">
        <v>0.80299700299700305</v>
      </c>
      <c r="C112">
        <v>0.89073581560283688</v>
      </c>
      <c r="D112">
        <v>7.3344513791107824</v>
      </c>
      <c r="E112">
        <v>0.10948581560283691</v>
      </c>
      <c r="F112">
        <v>5.7678780773739738E-2</v>
      </c>
      <c r="G112">
        <v>0.15549485185963441</v>
      </c>
      <c r="H112">
        <v>0.40490974092408671</v>
      </c>
      <c r="I112">
        <v>3.434855699539185</v>
      </c>
    </row>
    <row r="113" spans="1:9" x14ac:dyDescent="0.25">
      <c r="A113" t="s">
        <v>23</v>
      </c>
      <c r="B113">
        <v>0.75184238231312983</v>
      </c>
      <c r="C113">
        <v>0.85834478021978022</v>
      </c>
      <c r="D113">
        <v>9.0544025745484014</v>
      </c>
      <c r="E113">
        <v>1.751373626373626E-2</v>
      </c>
      <c r="F113">
        <v>0.1340724060280617</v>
      </c>
      <c r="G113">
        <v>0.14910638297872339</v>
      </c>
      <c r="H113">
        <v>0.82754036232503914</v>
      </c>
      <c r="I113">
        <v>11.79181957244873</v>
      </c>
    </row>
    <row r="114" spans="1:9" x14ac:dyDescent="0.25">
      <c r="A114" t="s">
        <v>9</v>
      </c>
      <c r="B114">
        <v>0.73830832675265423</v>
      </c>
      <c r="C114">
        <v>0.8494561239684022</v>
      </c>
      <c r="D114">
        <v>10.019065414428709</v>
      </c>
      <c r="E114">
        <v>-0.29200211998081921</v>
      </c>
      <c r="F114">
        <v>0.2587649753347428</v>
      </c>
      <c r="G114">
        <v>5.3194633252556297E-3</v>
      </c>
      <c r="H114">
        <v>0.88204273403623634</v>
      </c>
      <c r="I114">
        <v>4.0492758750915527</v>
      </c>
    </row>
    <row r="115" spans="1:9" x14ac:dyDescent="0.25">
      <c r="A115" t="s">
        <v>30</v>
      </c>
      <c r="B115">
        <v>0.76534768693628163</v>
      </c>
      <c r="C115">
        <v>0.86707869798104653</v>
      </c>
      <c r="D115">
        <v>10.70267486572266</v>
      </c>
      <c r="E115">
        <v>-0.25243785194341439</v>
      </c>
      <c r="F115">
        <v>0.23009756097560979</v>
      </c>
      <c r="G115">
        <v>7.67054385413392E-3</v>
      </c>
      <c r="H115">
        <v>0.83207257336559248</v>
      </c>
      <c r="I115">
        <v>5.0530390739440918</v>
      </c>
    </row>
    <row r="116" spans="1:9" x14ac:dyDescent="0.25">
      <c r="A116" t="s">
        <v>6</v>
      </c>
      <c r="B116">
        <v>0.72227079690232321</v>
      </c>
      <c r="C116">
        <v>0.83874243028610795</v>
      </c>
      <c r="D116">
        <v>10.779132974162559</v>
      </c>
      <c r="E116">
        <v>0.24643724843166409</v>
      </c>
      <c r="F116">
        <v>4.3384755366226893E-2</v>
      </c>
      <c r="G116">
        <v>0.25326876513317192</v>
      </c>
      <c r="H116">
        <v>1.019394957663905</v>
      </c>
      <c r="I116">
        <v>5.6688098907470703</v>
      </c>
    </row>
    <row r="117" spans="1:9" x14ac:dyDescent="0.25">
      <c r="A117" t="s">
        <v>15</v>
      </c>
      <c r="B117">
        <v>8.8816165581561256E-3</v>
      </c>
      <c r="C117">
        <v>1.760685577452813E-2</v>
      </c>
      <c r="D117">
        <v>10.815509343337411</v>
      </c>
      <c r="E117">
        <v>-1.9639859275293789</v>
      </c>
      <c r="F117">
        <v>0.99111659017139753</v>
      </c>
      <c r="G117">
        <v>2.2223560587810161E-2</v>
      </c>
      <c r="H117">
        <v>75.068409540843902</v>
      </c>
      <c r="I117">
        <v>129.3680419921875</v>
      </c>
    </row>
    <row r="118" spans="1:9" x14ac:dyDescent="0.25">
      <c r="A118" t="s">
        <v>13</v>
      </c>
      <c r="B118">
        <v>0.39968216130313872</v>
      </c>
      <c r="C118">
        <v>0.57110417258018731</v>
      </c>
      <c r="D118">
        <v>13.05588943734004</v>
      </c>
      <c r="E118">
        <v>0.3407809902274847</v>
      </c>
      <c r="F118">
        <v>0.31159880737083923</v>
      </c>
      <c r="G118">
        <v>0.51203963551952325</v>
      </c>
      <c r="H118">
        <v>2.9164340857305651</v>
      </c>
      <c r="I118">
        <v>26.67940521240234</v>
      </c>
    </row>
    <row r="119" spans="1:9" x14ac:dyDescent="0.25">
      <c r="A119" t="s">
        <v>24</v>
      </c>
      <c r="B119">
        <v>0.77210294705960791</v>
      </c>
      <c r="C119">
        <v>0.87139739634283997</v>
      </c>
      <c r="D119">
        <v>13.18580473327637</v>
      </c>
      <c r="E119">
        <v>-0.22680412371134021</v>
      </c>
      <c r="F119">
        <v>0.21735604217356039</v>
      </c>
      <c r="G119">
        <v>1.714479714819216E-2</v>
      </c>
      <c r="H119">
        <v>0.8524256277324529</v>
      </c>
      <c r="I119">
        <v>4.2413859367370614</v>
      </c>
    </row>
    <row r="120" spans="1:9" x14ac:dyDescent="0.25">
      <c r="A120" t="s">
        <v>6</v>
      </c>
      <c r="B120">
        <v>0.79429360331339161</v>
      </c>
      <c r="C120">
        <v>0.88535521928699668</v>
      </c>
      <c r="D120">
        <v>14.51276712040276</v>
      </c>
      <c r="E120">
        <v>-0.21732068051637171</v>
      </c>
      <c r="F120">
        <v>0.20141887723627391</v>
      </c>
      <c r="G120">
        <v>6.7139842700939959E-3</v>
      </c>
      <c r="H120">
        <v>0.88043640620440744</v>
      </c>
      <c r="I120">
        <v>4.3455719947814941</v>
      </c>
    </row>
    <row r="121" spans="1:9" x14ac:dyDescent="0.25">
      <c r="A121" t="s">
        <v>22</v>
      </c>
      <c r="B121">
        <v>0.35431474394022228</v>
      </c>
      <c r="C121">
        <v>0.52323840602869687</v>
      </c>
      <c r="D121">
        <v>22.775550704872519</v>
      </c>
      <c r="E121">
        <v>-0.66547797271610964</v>
      </c>
      <c r="F121">
        <v>0.60739618831250786</v>
      </c>
      <c r="G121">
        <v>0.21584148431985481</v>
      </c>
      <c r="H121">
        <v>21.510076287462109</v>
      </c>
      <c r="I121">
        <v>64.090538024902344</v>
      </c>
    </row>
    <row r="122" spans="1:9" x14ac:dyDescent="0.25">
      <c r="A122" t="s">
        <v>28</v>
      </c>
      <c r="B122">
        <v>0.56859721082854797</v>
      </c>
      <c r="C122">
        <v>0.72497541995272263</v>
      </c>
      <c r="D122">
        <v>25.62763497824389</v>
      </c>
      <c r="E122">
        <v>-0.53512680515169897</v>
      </c>
      <c r="F122">
        <v>0.42805589173726483</v>
      </c>
      <c r="G122">
        <v>1.0186789542832119E-2</v>
      </c>
      <c r="H122">
        <v>6.2394659960834593</v>
      </c>
      <c r="I122">
        <v>37.657684326171882</v>
      </c>
    </row>
    <row r="123" spans="1:9" x14ac:dyDescent="0.25">
      <c r="A123" t="s">
        <v>16</v>
      </c>
      <c r="B123">
        <v>0.58941099689998366</v>
      </c>
      <c r="C123">
        <v>0.74167222706975311</v>
      </c>
      <c r="D123">
        <v>30.322344926288899</v>
      </c>
      <c r="E123">
        <v>-0.21824154391007539</v>
      </c>
      <c r="F123">
        <v>0.33129714470822341</v>
      </c>
      <c r="G123">
        <v>0.1674828599412341</v>
      </c>
      <c r="H123">
        <v>3.3868839454119191</v>
      </c>
      <c r="I123">
        <v>24.30645751953125</v>
      </c>
    </row>
    <row r="124" spans="1:9" x14ac:dyDescent="0.25">
      <c r="A124" t="s">
        <v>6</v>
      </c>
      <c r="B124">
        <v>0.82240741723729138</v>
      </c>
      <c r="C124">
        <v>0.9025505597250405</v>
      </c>
      <c r="D124">
        <v>33.913814495464472</v>
      </c>
      <c r="E124">
        <v>-0.1076147848966475</v>
      </c>
      <c r="F124">
        <v>0.14353366071181789</v>
      </c>
      <c r="G124">
        <v>4.6123852034272231E-2</v>
      </c>
      <c r="H124">
        <v>0.73604734324195764</v>
      </c>
      <c r="I124">
        <v>5.4098753929138184</v>
      </c>
    </row>
    <row r="125" spans="1:9" x14ac:dyDescent="0.25">
      <c r="A125" t="s">
        <v>11</v>
      </c>
      <c r="B125">
        <v>0.8351656525684702</v>
      </c>
      <c r="C125">
        <v>0.91018012613693466</v>
      </c>
      <c r="D125">
        <v>39.791443419874668</v>
      </c>
      <c r="E125">
        <v>-0.14612753125050659</v>
      </c>
      <c r="F125">
        <v>0.15179306645715451</v>
      </c>
      <c r="G125">
        <v>1.807687262232717E-2</v>
      </c>
      <c r="H125">
        <v>0.95649998565967187</v>
      </c>
      <c r="I125">
        <v>11.34569644927979</v>
      </c>
    </row>
    <row r="126" spans="1:9" x14ac:dyDescent="0.25">
      <c r="A126" t="s">
        <v>7</v>
      </c>
      <c r="B126">
        <v>0.81746945753736922</v>
      </c>
      <c r="C126">
        <v>0.89956885288737909</v>
      </c>
      <c r="D126">
        <v>41.393146655308392</v>
      </c>
      <c r="E126">
        <v>0.1113666056963679</v>
      </c>
      <c r="F126">
        <v>4.7386479980076918E-2</v>
      </c>
      <c r="G126">
        <v>0.1478800029702235</v>
      </c>
      <c r="H126">
        <v>0.93655532816589682</v>
      </c>
      <c r="I126">
        <v>7.6834979057312012</v>
      </c>
    </row>
    <row r="127" spans="1:9" x14ac:dyDescent="0.25">
      <c r="A127" t="s">
        <v>28</v>
      </c>
      <c r="B127">
        <v>0.30280580201774532</v>
      </c>
      <c r="C127">
        <v>0.46485178612003258</v>
      </c>
      <c r="D127">
        <v>43.86107827680366</v>
      </c>
      <c r="E127">
        <v>-0.89602613624500271</v>
      </c>
      <c r="F127">
        <v>0.67897265822140607</v>
      </c>
      <c r="G127">
        <v>0.1578572620570729</v>
      </c>
      <c r="H127">
        <v>18.099044151144891</v>
      </c>
      <c r="I127">
        <v>80.064849853515625</v>
      </c>
    </row>
    <row r="128" spans="1:9" x14ac:dyDescent="0.25">
      <c r="A128" t="s">
        <v>28</v>
      </c>
      <c r="B128">
        <v>0.4317132095494981</v>
      </c>
      <c r="C128">
        <v>0.60307218885734903</v>
      </c>
      <c r="D128">
        <v>58.736808056726453</v>
      </c>
      <c r="E128">
        <v>-0.64814705626356472</v>
      </c>
      <c r="F128">
        <v>0.54453270453321345</v>
      </c>
      <c r="G128">
        <v>0.1077843316440974</v>
      </c>
      <c r="H128">
        <v>18.235042308755052</v>
      </c>
      <c r="I128">
        <v>75.886001586914063</v>
      </c>
    </row>
    <row r="129" spans="1:9" x14ac:dyDescent="0.25">
      <c r="A129" t="s">
        <v>11</v>
      </c>
      <c r="B129">
        <v>0.40324630443022452</v>
      </c>
      <c r="C129">
        <v>0.57473346362235245</v>
      </c>
      <c r="D129">
        <v>65.077427606108728</v>
      </c>
      <c r="E129">
        <v>-0.81146543368765589</v>
      </c>
      <c r="F129">
        <v>0.59115025442905489</v>
      </c>
      <c r="G129">
        <v>3.2870427310207638E-2</v>
      </c>
      <c r="H129">
        <v>14.67460666746552</v>
      </c>
      <c r="I129">
        <v>65.658363342285156</v>
      </c>
    </row>
    <row r="130" spans="1:9" x14ac:dyDescent="0.25">
      <c r="A130" t="s">
        <v>6</v>
      </c>
      <c r="B130">
        <v>0.74412590512782617</v>
      </c>
      <c r="C130">
        <v>0.85329379368777802</v>
      </c>
      <c r="D130">
        <v>70.919561080531352</v>
      </c>
      <c r="E130">
        <v>-0.27328955729718279</v>
      </c>
      <c r="F130">
        <v>0.2492871918152848</v>
      </c>
      <c r="G130">
        <v>1.165386785740573E-2</v>
      </c>
      <c r="H130">
        <v>2.4096858036766631</v>
      </c>
      <c r="I130">
        <v>33.380588531494141</v>
      </c>
    </row>
    <row r="131" spans="1:9" x14ac:dyDescent="0.25">
      <c r="A131" t="s">
        <v>11</v>
      </c>
      <c r="B131">
        <v>0.82085710754965424</v>
      </c>
      <c r="C131">
        <v>0.90161617201724298</v>
      </c>
      <c r="D131">
        <v>78.259115351978096</v>
      </c>
      <c r="E131">
        <v>0.1051518115823321</v>
      </c>
      <c r="F131">
        <v>4.8349965418436912E-2</v>
      </c>
      <c r="G131">
        <v>0.1434193324617806</v>
      </c>
      <c r="H131">
        <v>1.1491207192580071</v>
      </c>
      <c r="I131">
        <v>11.265007019042971</v>
      </c>
    </row>
    <row r="132" spans="1:9" x14ac:dyDescent="0.25">
      <c r="A132" t="s">
        <v>25</v>
      </c>
      <c r="B132">
        <v>0.84307411581602532</v>
      </c>
      <c r="C132">
        <v>0.91485644400442601</v>
      </c>
      <c r="D132">
        <v>82.451419830322266</v>
      </c>
      <c r="E132">
        <v>5.5116184264166333E-2</v>
      </c>
      <c r="F132">
        <v>5.9217381930553717E-2</v>
      </c>
      <c r="G132">
        <v>0.1096791013477517</v>
      </c>
      <c r="H132">
        <v>0.93908476084744652</v>
      </c>
      <c r="I132">
        <v>8.5094890594482422</v>
      </c>
    </row>
    <row r="133" spans="1:9" x14ac:dyDescent="0.25">
      <c r="A133" t="s">
        <v>11</v>
      </c>
      <c r="B133">
        <v>0.4816711366140668</v>
      </c>
      <c r="C133">
        <v>0.65017280111805065</v>
      </c>
      <c r="D133">
        <v>94.065030434672636</v>
      </c>
      <c r="E133">
        <v>-0.48285248832206817</v>
      </c>
      <c r="F133">
        <v>0.47626948908475619</v>
      </c>
      <c r="G133">
        <v>0.14290100848667811</v>
      </c>
      <c r="H133">
        <v>9.7406543171786009</v>
      </c>
      <c r="I133">
        <v>52.676624298095703</v>
      </c>
    </row>
    <row r="134" spans="1:9" x14ac:dyDescent="0.25">
      <c r="A134" t="s">
        <v>11</v>
      </c>
      <c r="B134">
        <v>0.35595111913762489</v>
      </c>
      <c r="C134">
        <v>0.52502057649984801</v>
      </c>
      <c r="D134">
        <v>98.314392589555553</v>
      </c>
      <c r="E134">
        <v>-0.7362584766233069</v>
      </c>
      <c r="F134">
        <v>0.61624928274484347</v>
      </c>
      <c r="G134">
        <v>0.16910132841563519</v>
      </c>
      <c r="H134">
        <v>16.718222371836688</v>
      </c>
      <c r="I134">
        <v>74.814598083496094</v>
      </c>
    </row>
    <row r="135" spans="1:9" x14ac:dyDescent="0.25">
      <c r="A135" t="s">
        <v>11</v>
      </c>
      <c r="B135">
        <v>0.53423796546888114</v>
      </c>
      <c r="C135">
        <v>0.69642125601501681</v>
      </c>
      <c r="D135">
        <v>128.61428308383589</v>
      </c>
      <c r="E135">
        <v>-0.49347086601976581</v>
      </c>
      <c r="F135">
        <v>0.44140413629400999</v>
      </c>
      <c r="G135">
        <v>7.5462610968459382E-2</v>
      </c>
      <c r="H135">
        <v>12.81671381070807</v>
      </c>
      <c r="I135">
        <v>62.310111999511719</v>
      </c>
    </row>
    <row r="136" spans="1:9" x14ac:dyDescent="0.25">
      <c r="A136" t="s">
        <v>11</v>
      </c>
      <c r="B136">
        <v>0.85280664715683563</v>
      </c>
      <c r="C136">
        <v>0.92055654967071976</v>
      </c>
      <c r="D136">
        <v>180.8232180910243</v>
      </c>
      <c r="E136">
        <v>-9.4666246204843138E-2</v>
      </c>
      <c r="F136">
        <v>0.1210470390320158</v>
      </c>
      <c r="G136">
        <v>3.370572443058803E-2</v>
      </c>
      <c r="H136">
        <v>1.693353245227879</v>
      </c>
      <c r="I136">
        <v>15.451723098754879</v>
      </c>
    </row>
    <row r="137" spans="1:9" x14ac:dyDescent="0.25">
      <c r="A137" t="s">
        <v>20</v>
      </c>
      <c r="B137">
        <v>0.9132608706576415</v>
      </c>
      <c r="C137">
        <v>0.95466424329655375</v>
      </c>
      <c r="D137">
        <v>224.0138386165971</v>
      </c>
      <c r="E137">
        <v>-5.2608493527027837E-2</v>
      </c>
      <c r="F137">
        <v>6.9803865367291787E-2</v>
      </c>
      <c r="G137">
        <v>1.954564336618814E-2</v>
      </c>
      <c r="H137">
        <v>0.74428550526290904</v>
      </c>
      <c r="I137">
        <v>12.644131660461429</v>
      </c>
    </row>
    <row r="138" spans="1:9" x14ac:dyDescent="0.25">
      <c r="A138" t="s">
        <v>5</v>
      </c>
      <c r="B138">
        <v>0.86450553992266665</v>
      </c>
      <c r="C138">
        <v>0.92732954814231705</v>
      </c>
      <c r="D138">
        <v>546.36240539280402</v>
      </c>
      <c r="E138">
        <v>-6.3590966485169945E-2</v>
      </c>
      <c r="F138">
        <v>0.1012467458880192</v>
      </c>
      <c r="G138">
        <v>4.2217287678011597E-2</v>
      </c>
      <c r="H138">
        <v>1.567715186358084</v>
      </c>
      <c r="I138">
        <v>17.814054489135739</v>
      </c>
    </row>
    <row r="139" spans="1:9" x14ac:dyDescent="0.25">
      <c r="A139" t="s">
        <v>15</v>
      </c>
      <c r="B139">
        <v>0.80427649824639247</v>
      </c>
      <c r="C139">
        <v>0.89152244573166339</v>
      </c>
      <c r="D139">
        <v>1013.182115935964</v>
      </c>
      <c r="E139">
        <v>-0.1608771375972361</v>
      </c>
      <c r="F139">
        <v>0.17485133215580961</v>
      </c>
      <c r="G139">
        <v>3.0491693668672531E-2</v>
      </c>
      <c r="H139">
        <v>2.3391347237253139</v>
      </c>
      <c r="I139">
        <v>39.87457275390625</v>
      </c>
    </row>
  </sheetData>
  <autoFilter ref="A1:G139">
    <filterColumn colId="3">
      <customFilters>
        <customFilter operator="greaterThan" val="1"/>
      </customFilters>
    </filterColumn>
  </autoFilter>
  <mergeCells count="3">
    <mergeCell ref="K76:M76"/>
    <mergeCell ref="K79:M79"/>
    <mergeCell ref="K82:M8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volume tables</vt:lpstr>
      <vt:lpstr>&lt; 1 cc</vt:lpstr>
      <vt:lpstr>1-2 cc</vt:lpstr>
      <vt:lpstr>&gt; 2 cc</vt:lpstr>
      <vt:lpstr>&gt; 1 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Anderson,Brian M</cp:lastModifiedBy>
  <dcterms:created xsi:type="dcterms:W3CDTF">2020-08-05T11:20:17Z</dcterms:created>
  <dcterms:modified xsi:type="dcterms:W3CDTF">2020-08-11T19:07:19Z</dcterms:modified>
</cp:coreProperties>
</file>