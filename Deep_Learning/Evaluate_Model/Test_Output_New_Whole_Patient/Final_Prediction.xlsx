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odular_Projects\Liver_Disease_Ablation_Segmentation\Deep_Learning\Evaluate_Model\Test_Output_New_Whole_Patient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definedNames>
    <definedName name="_xlnm._FilterDatabase" localSheetId="0" hidden="1">Sheet1!$A$1:$K$27</definedName>
  </definedNames>
  <calcPr calcId="162913"/>
</workbook>
</file>

<file path=xl/calcChain.xml><?xml version="1.0" encoding="utf-8"?>
<calcChain xmlns="http://schemas.openxmlformats.org/spreadsheetml/2006/main">
  <c r="G31" i="1" l="1"/>
  <c r="G30" i="1"/>
  <c r="G29" i="1"/>
  <c r="F31" i="1"/>
  <c r="F30" i="1"/>
  <c r="F29" i="1"/>
  <c r="D29" i="1"/>
  <c r="I31" i="1"/>
  <c r="I30" i="1"/>
  <c r="I29" i="1"/>
  <c r="D31" i="1"/>
  <c r="D30" i="1"/>
  <c r="M26" i="2" l="1"/>
  <c r="L26" i="2"/>
</calcChain>
</file>

<file path=xl/sharedStrings.xml><?xml version="1.0" encoding="utf-8"?>
<sst xmlns="http://schemas.openxmlformats.org/spreadsheetml/2006/main" count="73" uniqueCount="41">
  <si>
    <t>volume</t>
  </si>
  <si>
    <t>patient_name</t>
  </si>
  <si>
    <t>jaccard</t>
  </si>
  <si>
    <t>dice</t>
  </si>
  <si>
    <t>volume_similarity</t>
  </si>
  <si>
    <t>false_negative</t>
  </si>
  <si>
    <t>false_positive</t>
  </si>
  <si>
    <t>mean_surface_distance</t>
  </si>
  <si>
    <t>median_surface_distance</t>
  </si>
  <si>
    <t>std_surface_distance</t>
  </si>
  <si>
    <t>max_surface_distance</t>
  </si>
  <si>
    <t>Sensitivity</t>
  </si>
  <si>
    <t>Specificity</t>
  </si>
  <si>
    <t>Overall_Data_LiTs_100_Image</t>
  </si>
  <si>
    <t>Overall_Data_LiTs_101_Image</t>
  </si>
  <si>
    <t>Overall_Data_LiTs_103_Image</t>
  </si>
  <si>
    <t>Overall_Data_LiTs_107_Image</t>
  </si>
  <si>
    <t>Overall_Data_LiTs_10_Image</t>
  </si>
  <si>
    <t>Overall_Data_LiTs_11_Image</t>
  </si>
  <si>
    <t>Overall_Data_LiTs_129_Image</t>
  </si>
  <si>
    <t>Overall_Data_LiTs_14_Image</t>
  </si>
  <si>
    <t>Overall_Data_LiTs_19_Image</t>
  </si>
  <si>
    <t>Overall_Data_LiTs_3_Image</t>
  </si>
  <si>
    <t>Overall_Data_LiTs_4_Image</t>
  </si>
  <si>
    <t>Overall_Data_LiTs_52_Image</t>
  </si>
  <si>
    <t>Overall_Data_LiTs_53_Image</t>
  </si>
  <si>
    <t>Overall_Data_LiTs_57_Image</t>
  </si>
  <si>
    <t>Overall_Data_LiTs_5_Image</t>
  </si>
  <si>
    <t>Overall_Data_LiTs_64_Image</t>
  </si>
  <si>
    <t>Overall_Data_LiTs_66_Image</t>
  </si>
  <si>
    <t>Overall_Data_LiTs_72_Image</t>
  </si>
  <si>
    <t>Overall_Data_LiTs_78_Image</t>
  </si>
  <si>
    <t>Overall_Data_LiTs_7_Image</t>
  </si>
  <si>
    <t>Overall_Data_LiTs_80_Image</t>
  </si>
  <si>
    <t>Overall_Data_LiTs_85_Image</t>
  </si>
  <si>
    <t>Overall_Data_LiTs_90_Image</t>
  </si>
  <si>
    <t>Overall_Data_LiTs_99_Image</t>
  </si>
  <si>
    <t>Overall_Data_LiTs_9_Image</t>
  </si>
  <si>
    <t>Volume</t>
  </si>
  <si>
    <t>DSC</t>
  </si>
  <si>
    <t>Median Surface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</si>
</sst>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Dice Similarity Coefficient and Volume (cc) vs Patient Number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Sheet1!$D$2:$D$26</c:f>
              <c:numCache>
                <c:formatCode>General</c:formatCode>
                <c:ptCount val="25"/>
                <c:pt idx="0">
                  <c:v>0.26612576064908722</c:v>
                </c:pt>
                <c:pt idx="1">
                  <c:v>0.2314366761221425</c:v>
                </c:pt>
                <c:pt idx="2">
                  <c:v>0.66619132501485434</c:v>
                </c:pt>
                <c:pt idx="3">
                  <c:v>0.105425494963529</c:v>
                </c:pt>
                <c:pt idx="4">
                  <c:v>0.17035758443816029</c:v>
                </c:pt>
                <c:pt idx="5">
                  <c:v>0.19575677037987449</c:v>
                </c:pt>
                <c:pt idx="6">
                  <c:v>0.75484247898970835</c:v>
                </c:pt>
                <c:pt idx="7">
                  <c:v>0.46692832059491851</c:v>
                </c:pt>
                <c:pt idx="8">
                  <c:v>0.35197174808711013</c:v>
                </c:pt>
                <c:pt idx="9">
                  <c:v>0.1224434996643545</c:v>
                </c:pt>
                <c:pt idx="10">
                  <c:v>0.36512198703559973</c:v>
                </c:pt>
                <c:pt idx="11">
                  <c:v>0.61272808382386545</c:v>
                </c:pt>
                <c:pt idx="12">
                  <c:v>0.76226015841697403</c:v>
                </c:pt>
                <c:pt idx="13">
                  <c:v>0.82436496553000516</c:v>
                </c:pt>
                <c:pt idx="14">
                  <c:v>0.56647503782148256</c:v>
                </c:pt>
                <c:pt idx="15">
                  <c:v>0.50958118934410213</c:v>
                </c:pt>
                <c:pt idx="16">
                  <c:v>0.65327467098915515</c:v>
                </c:pt>
                <c:pt idx="17">
                  <c:v>0.88640640439043117</c:v>
                </c:pt>
                <c:pt idx="18">
                  <c:v>0.90171908713918458</c:v>
                </c:pt>
                <c:pt idx="19">
                  <c:v>0.75178355799797925</c:v>
                </c:pt>
                <c:pt idx="20">
                  <c:v>0.8743146543091439</c:v>
                </c:pt>
                <c:pt idx="21">
                  <c:v>0.9156919391206314</c:v>
                </c:pt>
                <c:pt idx="22">
                  <c:v>0.92596744532641384</c:v>
                </c:pt>
                <c:pt idx="23">
                  <c:v>0.91426252684041498</c:v>
                </c:pt>
                <c:pt idx="24">
                  <c:v>0.89030702772737569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143-A196-5D0B9BE8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717696"/>
        <c:axId val="1286718944"/>
      </c:barChart>
      <c:lineChart>
        <c:grouping val="standard"/>
        <c:varyColors val="0"/>
        <c:ser>
          <c:idx val="1"/>
          <c:order val="1"/>
          <c:tx>
            <c:strRef>
              <c:f>Sheet1!$A$1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Sheet1!$A$2:$A$26</c:f>
              <c:numCache>
                <c:formatCode>General</c:formatCode>
                <c:ptCount val="25"/>
                <c:pt idx="0">
                  <c:v>0.75302227168536051</c:v>
                </c:pt>
                <c:pt idx="1">
                  <c:v>1.4620907249450681</c:v>
                </c:pt>
                <c:pt idx="2">
                  <c:v>1.5590632438659671</c:v>
                </c:pt>
                <c:pt idx="3">
                  <c:v>3.664251911757018</c:v>
                </c:pt>
                <c:pt idx="4">
                  <c:v>4.6132278442382813</c:v>
                </c:pt>
                <c:pt idx="5">
                  <c:v>5.6914278474145252</c:v>
                </c:pt>
                <c:pt idx="6">
                  <c:v>5.7162810058593747</c:v>
                </c:pt>
                <c:pt idx="7">
                  <c:v>6.3111357029993087</c:v>
                </c:pt>
                <c:pt idx="8">
                  <c:v>6.4644763955862699</c:v>
                </c:pt>
                <c:pt idx="9">
                  <c:v>7.5197804218483038</c:v>
                </c:pt>
                <c:pt idx="10">
                  <c:v>14.5011157392595</c:v>
                </c:pt>
                <c:pt idx="11">
                  <c:v>17.05710504150391</c:v>
                </c:pt>
                <c:pt idx="12">
                  <c:v>18.340905761718751</c:v>
                </c:pt>
                <c:pt idx="13">
                  <c:v>20.555955562591549</c:v>
                </c:pt>
                <c:pt idx="14">
                  <c:v>21.619601585662121</c:v>
                </c:pt>
                <c:pt idx="15">
                  <c:v>27.566293749176658</c:v>
                </c:pt>
                <c:pt idx="16">
                  <c:v>34.439978560630259</c:v>
                </c:pt>
                <c:pt idx="17">
                  <c:v>41.603180938230551</c:v>
                </c:pt>
                <c:pt idx="18">
                  <c:v>86.106643676757813</c:v>
                </c:pt>
                <c:pt idx="19">
                  <c:v>130.3364744699812</c:v>
                </c:pt>
                <c:pt idx="20">
                  <c:v>143.1534977944255</c:v>
                </c:pt>
                <c:pt idx="21">
                  <c:v>224.0138386165971</c:v>
                </c:pt>
                <c:pt idx="22">
                  <c:v>552.39395093128951</c:v>
                </c:pt>
                <c:pt idx="23">
                  <c:v>690.27792794037646</c:v>
                </c:pt>
                <c:pt idx="24">
                  <c:v>1035.732231447708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A-4143-A196-5D0B9BE8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701056"/>
        <c:axId val="1286698976"/>
      </c:lineChart>
      <c:catAx>
        <c:axId val="12867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8944"/>
        <c:crosses val="autoZero"/>
        <c:auto val="1"/>
        <c:lblAlgn val="ctr"/>
        <c:lblOffset val="100"/>
        <c:noMultiLvlLbl val="0"/>
      </c:catAx>
      <c:valAx>
        <c:axId val="12867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Dice Similarity Coefficient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7696"/>
        <c:crosses val="autoZero"/>
        <c:crossBetween val="between"/>
      </c:valAx>
      <c:valAx>
        <c:axId val="128669897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01056"/>
        <c:crosses val="max"/>
        <c:crossBetween val="between"/>
      </c:valAx>
      <c:catAx>
        <c:axId val="12867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286698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Surface Distance and Volume (cc) vs Patient Number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Median Surface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Sheet1!$I$2:$I$26</c:f>
              <c:numCache>
                <c:formatCode>General</c:formatCode>
                <c:ptCount val="25"/>
                <c:pt idx="0">
                  <c:v>2.39996337890625</c:v>
                </c:pt>
                <c:pt idx="1">
                  <c:v>20.69221305847168</c:v>
                </c:pt>
                <c:pt idx="2">
                  <c:v>0.98055821657180786</c:v>
                </c:pt>
                <c:pt idx="3">
                  <c:v>73.81591796875</c:v>
                </c:pt>
                <c:pt idx="4">
                  <c:v>62.235034942626953</c:v>
                </c:pt>
                <c:pt idx="5">
                  <c:v>26.98709678649902</c:v>
                </c:pt>
                <c:pt idx="6">
                  <c:v>0.671875</c:v>
                </c:pt>
                <c:pt idx="7">
                  <c:v>2.2386775016784668</c:v>
                </c:pt>
                <c:pt idx="8">
                  <c:v>23.504824638366699</c:v>
                </c:pt>
                <c:pt idx="9">
                  <c:v>109.41431045532229</c:v>
                </c:pt>
                <c:pt idx="10">
                  <c:v>3.2067573070526119</c:v>
                </c:pt>
                <c:pt idx="11">
                  <c:v>1.261815547943115</c:v>
                </c:pt>
                <c:pt idx="12">
                  <c:v>1</c:v>
                </c:pt>
                <c:pt idx="13">
                  <c:v>0.748046875</c:v>
                </c:pt>
                <c:pt idx="14">
                  <c:v>4.0902318954467773</c:v>
                </c:pt>
                <c:pt idx="15">
                  <c:v>10.898819923400881</c:v>
                </c:pt>
                <c:pt idx="16">
                  <c:v>2.5</c:v>
                </c:pt>
                <c:pt idx="17">
                  <c:v>0.85546875</c:v>
                </c:pt>
                <c:pt idx="18">
                  <c:v>0.68359375</c:v>
                </c:pt>
                <c:pt idx="19">
                  <c:v>1.5619964599609379</c:v>
                </c:pt>
                <c:pt idx="20">
                  <c:v>0.705078125</c:v>
                </c:pt>
                <c:pt idx="21">
                  <c:v>0.77734375</c:v>
                </c:pt>
                <c:pt idx="22">
                  <c:v>0.98884463310241699</c:v>
                </c:pt>
                <c:pt idx="23">
                  <c:v>0.99354457855224609</c:v>
                </c:pt>
                <c:pt idx="24">
                  <c:v>1.8046875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4-40A9-9575-C3EA9222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717696"/>
        <c:axId val="1286718944"/>
      </c:barChart>
      <c:lineChart>
        <c:grouping val="standard"/>
        <c:varyColors val="0"/>
        <c:ser>
          <c:idx val="1"/>
          <c:order val="1"/>
          <c:tx>
            <c:strRef>
              <c:f>Sheet1!$A$1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Sheet1!$A$2:$A$26</c:f>
              <c:numCache>
                <c:formatCode>General</c:formatCode>
                <c:ptCount val="25"/>
                <c:pt idx="0">
                  <c:v>0.75302227168536051</c:v>
                </c:pt>
                <c:pt idx="1">
                  <c:v>1.4620907249450681</c:v>
                </c:pt>
                <c:pt idx="2">
                  <c:v>1.5590632438659671</c:v>
                </c:pt>
                <c:pt idx="3">
                  <c:v>3.664251911757018</c:v>
                </c:pt>
                <c:pt idx="4">
                  <c:v>4.6132278442382813</c:v>
                </c:pt>
                <c:pt idx="5">
                  <c:v>5.6914278474145252</c:v>
                </c:pt>
                <c:pt idx="6">
                  <c:v>5.7162810058593747</c:v>
                </c:pt>
                <c:pt idx="7">
                  <c:v>6.3111357029993087</c:v>
                </c:pt>
                <c:pt idx="8">
                  <c:v>6.4644763955862699</c:v>
                </c:pt>
                <c:pt idx="9">
                  <c:v>7.5197804218483038</c:v>
                </c:pt>
                <c:pt idx="10">
                  <c:v>14.5011157392595</c:v>
                </c:pt>
                <c:pt idx="11">
                  <c:v>17.05710504150391</c:v>
                </c:pt>
                <c:pt idx="12">
                  <c:v>18.340905761718751</c:v>
                </c:pt>
                <c:pt idx="13">
                  <c:v>20.555955562591549</c:v>
                </c:pt>
                <c:pt idx="14">
                  <c:v>21.619601585662121</c:v>
                </c:pt>
                <c:pt idx="15">
                  <c:v>27.566293749176658</c:v>
                </c:pt>
                <c:pt idx="16">
                  <c:v>34.439978560630259</c:v>
                </c:pt>
                <c:pt idx="17">
                  <c:v>41.603180938230551</c:v>
                </c:pt>
                <c:pt idx="18">
                  <c:v>86.106643676757813</c:v>
                </c:pt>
                <c:pt idx="19">
                  <c:v>130.3364744699812</c:v>
                </c:pt>
                <c:pt idx="20">
                  <c:v>143.1534977944255</c:v>
                </c:pt>
                <c:pt idx="21">
                  <c:v>224.0138386165971</c:v>
                </c:pt>
                <c:pt idx="22">
                  <c:v>552.39395093128951</c:v>
                </c:pt>
                <c:pt idx="23">
                  <c:v>690.27792794037646</c:v>
                </c:pt>
                <c:pt idx="24">
                  <c:v>1035.732231447708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4-40A9-9575-C3EA9222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701056"/>
        <c:axId val="1286698976"/>
      </c:lineChart>
      <c:catAx>
        <c:axId val="12867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8944"/>
        <c:crossesAt val="0.1"/>
        <c:auto val="1"/>
        <c:lblAlgn val="ctr"/>
        <c:lblOffset val="100"/>
        <c:noMultiLvlLbl val="0"/>
      </c:catAx>
      <c:valAx>
        <c:axId val="1286718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Surface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7696"/>
        <c:crosses val="autoZero"/>
        <c:crossBetween val="between"/>
      </c:valAx>
      <c:valAx>
        <c:axId val="128669897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01056"/>
        <c:crosses val="max"/>
        <c:crossBetween val="between"/>
      </c:valAx>
      <c:catAx>
        <c:axId val="12867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286698976"/>
        <c:crossesAt val="0.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Surface Distance and Volume (cc) vs Patient Number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Median Surface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Sheet1!$I$2:$I$26</c:f>
              <c:numCache>
                <c:formatCode>General</c:formatCode>
                <c:ptCount val="25"/>
                <c:pt idx="0">
                  <c:v>2.39996337890625</c:v>
                </c:pt>
                <c:pt idx="1">
                  <c:v>20.69221305847168</c:v>
                </c:pt>
                <c:pt idx="2">
                  <c:v>0.98055821657180786</c:v>
                </c:pt>
                <c:pt idx="3">
                  <c:v>73.81591796875</c:v>
                </c:pt>
                <c:pt idx="4">
                  <c:v>62.235034942626953</c:v>
                </c:pt>
                <c:pt idx="5">
                  <c:v>26.98709678649902</c:v>
                </c:pt>
                <c:pt idx="6">
                  <c:v>0.671875</c:v>
                </c:pt>
                <c:pt idx="7">
                  <c:v>2.2386775016784668</c:v>
                </c:pt>
                <c:pt idx="8">
                  <c:v>23.504824638366699</c:v>
                </c:pt>
                <c:pt idx="9">
                  <c:v>109.41431045532229</c:v>
                </c:pt>
                <c:pt idx="10">
                  <c:v>3.2067573070526119</c:v>
                </c:pt>
                <c:pt idx="11">
                  <c:v>1.261815547943115</c:v>
                </c:pt>
                <c:pt idx="12">
                  <c:v>1</c:v>
                </c:pt>
                <c:pt idx="13">
                  <c:v>0.748046875</c:v>
                </c:pt>
                <c:pt idx="14">
                  <c:v>4.0902318954467773</c:v>
                </c:pt>
                <c:pt idx="15">
                  <c:v>10.898819923400881</c:v>
                </c:pt>
                <c:pt idx="16">
                  <c:v>2.5</c:v>
                </c:pt>
                <c:pt idx="17">
                  <c:v>0.85546875</c:v>
                </c:pt>
                <c:pt idx="18">
                  <c:v>0.68359375</c:v>
                </c:pt>
                <c:pt idx="19">
                  <c:v>1.5619964599609379</c:v>
                </c:pt>
                <c:pt idx="20">
                  <c:v>0.705078125</c:v>
                </c:pt>
                <c:pt idx="21">
                  <c:v>0.77734375</c:v>
                </c:pt>
                <c:pt idx="22">
                  <c:v>0.98884463310241699</c:v>
                </c:pt>
                <c:pt idx="23">
                  <c:v>0.99354457855224609</c:v>
                </c:pt>
                <c:pt idx="24">
                  <c:v>1.8046875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F-476B-9D68-1DD71AC3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6717696"/>
        <c:axId val="1286718944"/>
      </c:barChart>
      <c:lineChart>
        <c:grouping val="standard"/>
        <c:varyColors val="0"/>
        <c:ser>
          <c:idx val="1"/>
          <c:order val="1"/>
          <c:tx>
            <c:strRef>
              <c:f>Sheet1!$A$1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Sheet1!$A$2:$A$26</c:f>
              <c:numCache>
                <c:formatCode>General</c:formatCode>
                <c:ptCount val="25"/>
                <c:pt idx="0">
                  <c:v>0.75302227168536051</c:v>
                </c:pt>
                <c:pt idx="1">
                  <c:v>1.4620907249450681</c:v>
                </c:pt>
                <c:pt idx="2">
                  <c:v>1.5590632438659671</c:v>
                </c:pt>
                <c:pt idx="3">
                  <c:v>3.664251911757018</c:v>
                </c:pt>
                <c:pt idx="4">
                  <c:v>4.6132278442382813</c:v>
                </c:pt>
                <c:pt idx="5">
                  <c:v>5.6914278474145252</c:v>
                </c:pt>
                <c:pt idx="6">
                  <c:v>5.7162810058593747</c:v>
                </c:pt>
                <c:pt idx="7">
                  <c:v>6.3111357029993087</c:v>
                </c:pt>
                <c:pt idx="8">
                  <c:v>6.4644763955862699</c:v>
                </c:pt>
                <c:pt idx="9">
                  <c:v>7.5197804218483038</c:v>
                </c:pt>
                <c:pt idx="10">
                  <c:v>14.5011157392595</c:v>
                </c:pt>
                <c:pt idx="11">
                  <c:v>17.05710504150391</c:v>
                </c:pt>
                <c:pt idx="12">
                  <c:v>18.340905761718751</c:v>
                </c:pt>
                <c:pt idx="13">
                  <c:v>20.555955562591549</c:v>
                </c:pt>
                <c:pt idx="14">
                  <c:v>21.619601585662121</c:v>
                </c:pt>
                <c:pt idx="15">
                  <c:v>27.566293749176658</c:v>
                </c:pt>
                <c:pt idx="16">
                  <c:v>34.439978560630259</c:v>
                </c:pt>
                <c:pt idx="17">
                  <c:v>41.603180938230551</c:v>
                </c:pt>
                <c:pt idx="18">
                  <c:v>86.106643676757813</c:v>
                </c:pt>
                <c:pt idx="19">
                  <c:v>130.3364744699812</c:v>
                </c:pt>
                <c:pt idx="20">
                  <c:v>143.1534977944255</c:v>
                </c:pt>
                <c:pt idx="21">
                  <c:v>224.0138386165971</c:v>
                </c:pt>
                <c:pt idx="22">
                  <c:v>552.39395093128951</c:v>
                </c:pt>
                <c:pt idx="23">
                  <c:v>690.27792794037646</c:v>
                </c:pt>
                <c:pt idx="24">
                  <c:v>1035.732231447708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F-476B-9D68-1DD71AC3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701056"/>
        <c:axId val="1286698976"/>
      </c:lineChart>
      <c:catAx>
        <c:axId val="12867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8944"/>
        <c:crossesAt val="0.1"/>
        <c:auto val="1"/>
        <c:lblAlgn val="ctr"/>
        <c:lblOffset val="100"/>
        <c:noMultiLvlLbl val="0"/>
      </c:catAx>
      <c:valAx>
        <c:axId val="1286718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Surface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17696"/>
        <c:crosses val="autoZero"/>
        <c:crossBetween val="between"/>
      </c:valAx>
      <c:valAx>
        <c:axId val="1286698976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(cc)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01056"/>
        <c:crosses val="max"/>
        <c:crossBetween val="between"/>
      </c:valAx>
      <c:catAx>
        <c:axId val="1286701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286698976"/>
        <c:crossesAt val="0.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56588</xdr:colOff>
      <xdr:row>1</xdr:row>
      <xdr:rowOff>186899</xdr:rowOff>
    </xdr:from>
    <xdr:to>
      <xdr:col>25</xdr:col>
      <xdr:colOff>61630</xdr:colOff>
      <xdr:row>29</xdr:row>
      <xdr:rowOff>177374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773205</xdr:colOff>
      <xdr:row>23</xdr:row>
      <xdr:rowOff>44823</xdr:rowOff>
    </xdr:from>
    <xdr:to>
      <xdr:col>17</xdr:col>
      <xdr:colOff>105894</xdr:colOff>
      <xdr:row>51</xdr:row>
      <xdr:rowOff>35298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</xdr:row>
      <xdr:rowOff>0</xdr:rowOff>
    </xdr:from>
    <xdr:to>
      <xdr:col>11</xdr:col>
      <xdr:colOff>486895</xdr:colOff>
      <xdr:row>65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85" zoomScaleNormal="85" workbookViewId="0">
      <selection activeCell="C22" sqref="C22"/>
    </sheetView>
  </sheetViews>
  <sheetFormatPr defaultRowHeight="15" x14ac:dyDescent="0.25"/>
  <cols>
    <col min="2" max="2" width="27.7109375" bestFit="1" customWidth="1"/>
    <col min="6" max="6" width="19" bestFit="1" customWidth="1"/>
    <col min="7" max="7" width="18.140625" bestFit="1" customWidth="1"/>
    <col min="8" max="8" width="26.85546875" bestFit="1" customWidth="1"/>
    <col min="9" max="9" width="28.5703125" bestFit="1" customWidth="1"/>
  </cols>
  <sheetData>
    <row r="1" spans="1:11" x14ac:dyDescent="0.25">
      <c r="A1" s="1" t="s">
        <v>38</v>
      </c>
      <c r="B1" s="1" t="s">
        <v>1</v>
      </c>
      <c r="C1" s="1" t="s">
        <v>2</v>
      </c>
      <c r="D1" s="1" t="s">
        <v>39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  <c r="J1" s="1" t="s">
        <v>9</v>
      </c>
      <c r="K1" s="1" t="s">
        <v>10</v>
      </c>
    </row>
    <row r="2" spans="1:11" x14ac:dyDescent="0.25">
      <c r="A2">
        <v>0.75302227168536051</v>
      </c>
      <c r="B2" t="s">
        <v>27</v>
      </c>
      <c r="C2">
        <v>0.15348619560131019</v>
      </c>
      <c r="D2">
        <v>0.26612576064908722</v>
      </c>
      <c r="E2">
        <v>-0.3724137931034483</v>
      </c>
      <c r="F2">
        <v>0.77564979480164153</v>
      </c>
      <c r="G2">
        <v>0.67298105682951148</v>
      </c>
      <c r="H2">
        <v>28.372354290514309</v>
      </c>
      <c r="I2">
        <v>2.39996337890625</v>
      </c>
      <c r="J2">
        <v>43.994231690165478</v>
      </c>
      <c r="K2">
        <v>105.87722015380859</v>
      </c>
    </row>
    <row r="3" spans="1:11" x14ac:dyDescent="0.25">
      <c r="A3">
        <v>1.4620907249450681</v>
      </c>
      <c r="B3" t="s">
        <v>20</v>
      </c>
      <c r="C3">
        <v>0.13086140201905841</v>
      </c>
      <c r="D3">
        <v>0.2314366761221425</v>
      </c>
      <c r="E3">
        <v>-1.4808943767729019</v>
      </c>
      <c r="F3">
        <v>0.86702459134269694</v>
      </c>
      <c r="G3">
        <v>0.1083252973320476</v>
      </c>
      <c r="H3">
        <v>49.207901083253077</v>
      </c>
      <c r="I3">
        <v>20.69221305847168</v>
      </c>
      <c r="J3">
        <v>47.501562434579988</v>
      </c>
      <c r="K3">
        <v>129.85791015625</v>
      </c>
    </row>
    <row r="4" spans="1:11" x14ac:dyDescent="0.25">
      <c r="A4">
        <v>1.5590632438659671</v>
      </c>
      <c r="B4" t="s">
        <v>22</v>
      </c>
      <c r="C4">
        <v>0.49946543121881681</v>
      </c>
      <c r="D4">
        <v>0.66619132501485434</v>
      </c>
      <c r="E4">
        <v>-0.45846702317290561</v>
      </c>
      <c r="F4">
        <v>0.4580433101314772</v>
      </c>
      <c r="G4">
        <v>0.1356768424298489</v>
      </c>
      <c r="H4">
        <v>18.10375182103197</v>
      </c>
      <c r="I4">
        <v>0.98055821657180786</v>
      </c>
      <c r="J4">
        <v>36.739718020478307</v>
      </c>
      <c r="K4">
        <v>139.10227966308591</v>
      </c>
    </row>
    <row r="5" spans="1:11" x14ac:dyDescent="0.25">
      <c r="A5">
        <v>3.664251911757018</v>
      </c>
      <c r="B5" t="s">
        <v>16</v>
      </c>
      <c r="C5">
        <v>5.5646001085346362E-2</v>
      </c>
      <c r="D5">
        <v>0.105425494963529</v>
      </c>
      <c r="E5">
        <v>-1.5837443556790549</v>
      </c>
      <c r="F5">
        <v>0.94116461192525391</v>
      </c>
      <c r="G5">
        <v>0.49345794392523362</v>
      </c>
      <c r="H5">
        <v>71.637753583704693</v>
      </c>
      <c r="I5">
        <v>73.81591796875</v>
      </c>
      <c r="J5">
        <v>50.71473971093576</v>
      </c>
      <c r="K5">
        <v>220.22071838378909</v>
      </c>
    </row>
    <row r="6" spans="1:11" x14ac:dyDescent="0.25">
      <c r="A6">
        <v>4.6132278442382813</v>
      </c>
      <c r="B6" t="s">
        <v>26</v>
      </c>
      <c r="C6">
        <v>9.3109769968820671E-2</v>
      </c>
      <c r="D6">
        <v>0.17035758443816029</v>
      </c>
      <c r="E6">
        <v>-1.634458359347265</v>
      </c>
      <c r="F6">
        <v>0.90625421034194709</v>
      </c>
      <c r="G6">
        <v>6.7916945746818488E-2</v>
      </c>
      <c r="H6">
        <v>58.141059973502372</v>
      </c>
      <c r="I6">
        <v>62.235034942626953</v>
      </c>
      <c r="J6">
        <v>36.967353259056573</v>
      </c>
      <c r="K6">
        <v>120.960205078125</v>
      </c>
    </row>
    <row r="7" spans="1:11" x14ac:dyDescent="0.25">
      <c r="A7">
        <v>5.6914278474145252</v>
      </c>
      <c r="B7" t="s">
        <v>34</v>
      </c>
      <c r="C7">
        <v>0.1084979935998375</v>
      </c>
      <c r="D7">
        <v>0.19575677037987449</v>
      </c>
      <c r="E7">
        <v>-1.103148054804564</v>
      </c>
      <c r="F7">
        <v>0.87383343177790906</v>
      </c>
      <c r="G7">
        <v>0.56345800122624157</v>
      </c>
      <c r="H7">
        <v>27.43031602210274</v>
      </c>
      <c r="I7">
        <v>26.98709678649902</v>
      </c>
      <c r="J7">
        <v>21.46243222815519</v>
      </c>
      <c r="K7">
        <v>90.358177185058594</v>
      </c>
    </row>
    <row r="8" spans="1:11" x14ac:dyDescent="0.25">
      <c r="A8">
        <v>5.7162810058593747</v>
      </c>
      <c r="B8" t="s">
        <v>18</v>
      </c>
      <c r="C8">
        <v>0.60622247888544001</v>
      </c>
      <c r="D8">
        <v>0.75484247898970835</v>
      </c>
      <c r="E8">
        <v>0.27639207226641499</v>
      </c>
      <c r="F8">
        <v>0.124113475177305</v>
      </c>
      <c r="G8">
        <v>0.33680802337518762</v>
      </c>
      <c r="H8">
        <v>3.3325771190024711</v>
      </c>
      <c r="I8">
        <v>0.671875</v>
      </c>
      <c r="J8">
        <v>9.4132422265635363</v>
      </c>
      <c r="K8">
        <v>60.434658050537109</v>
      </c>
    </row>
    <row r="9" spans="1:11" x14ac:dyDescent="0.25">
      <c r="A9">
        <v>6.3111357029993087</v>
      </c>
      <c r="B9" t="s">
        <v>36</v>
      </c>
      <c r="C9">
        <v>0.30457044303115233</v>
      </c>
      <c r="D9">
        <v>0.46692832059491851</v>
      </c>
      <c r="E9">
        <v>0.44114852303243129</v>
      </c>
      <c r="F9">
        <v>0.40093289515530578</v>
      </c>
      <c r="G9">
        <v>0.61745193609531546</v>
      </c>
      <c r="H9">
        <v>19.2249768230595</v>
      </c>
      <c r="I9">
        <v>2.2386775016784668</v>
      </c>
      <c r="J9">
        <v>21.88547639873698</v>
      </c>
      <c r="K9">
        <v>85.596000671386719</v>
      </c>
    </row>
    <row r="10" spans="1:11" x14ac:dyDescent="0.25">
      <c r="A10">
        <v>6.4644763955862699</v>
      </c>
      <c r="B10" t="s">
        <v>29</v>
      </c>
      <c r="C10">
        <v>0.21357142857142861</v>
      </c>
      <c r="D10">
        <v>0.35197174808711013</v>
      </c>
      <c r="E10">
        <v>-0.80211889346674514</v>
      </c>
      <c r="F10">
        <v>0.74878171735842713</v>
      </c>
      <c r="G10">
        <v>0.41234276729559749</v>
      </c>
      <c r="H10">
        <v>26.184689632449491</v>
      </c>
      <c r="I10">
        <v>23.504824638366699</v>
      </c>
      <c r="J10">
        <v>28.7492063632011</v>
      </c>
      <c r="K10">
        <v>91.604789733886719</v>
      </c>
    </row>
    <row r="11" spans="1:11" x14ac:dyDescent="0.25">
      <c r="A11">
        <v>7.5197804218483038</v>
      </c>
      <c r="B11" t="s">
        <v>25</v>
      </c>
      <c r="C11">
        <v>6.5214282309195792E-2</v>
      </c>
      <c r="D11">
        <v>0.1224434996643545</v>
      </c>
      <c r="E11">
        <v>-1.534213470575073</v>
      </c>
      <c r="F11">
        <v>0.93070961859899715</v>
      </c>
      <c r="G11">
        <v>0.47425057647963098</v>
      </c>
      <c r="H11">
        <v>96.503412402294401</v>
      </c>
      <c r="I11">
        <v>109.41431045532229</v>
      </c>
      <c r="J11">
        <v>49.299960818001537</v>
      </c>
      <c r="K11">
        <v>173.95166015625</v>
      </c>
    </row>
    <row r="12" spans="1:11" x14ac:dyDescent="0.25">
      <c r="A12">
        <v>14.5011157392595</v>
      </c>
      <c r="B12" t="s">
        <v>21</v>
      </c>
      <c r="C12">
        <v>0.22333286284372469</v>
      </c>
      <c r="D12">
        <v>0.36512198703559973</v>
      </c>
      <c r="E12">
        <v>-0.65497493129706941</v>
      </c>
      <c r="F12">
        <v>0.72495259165613146</v>
      </c>
      <c r="G12">
        <v>0.45707779649385488</v>
      </c>
      <c r="H12">
        <v>26.901814077510679</v>
      </c>
      <c r="I12">
        <v>3.2067573070526119</v>
      </c>
      <c r="J12">
        <v>34.370606096333397</v>
      </c>
      <c r="K12">
        <v>120.55596923828119</v>
      </c>
    </row>
    <row r="13" spans="1:11" x14ac:dyDescent="0.25">
      <c r="A13">
        <v>17.05710504150391</v>
      </c>
      <c r="B13" t="s">
        <v>17</v>
      </c>
      <c r="C13">
        <v>0.44167843137254897</v>
      </c>
      <c r="D13">
        <v>0.61272808382386545</v>
      </c>
      <c r="E13">
        <v>-0.74638493259490568</v>
      </c>
      <c r="F13">
        <v>0.55379300508692142</v>
      </c>
      <c r="G13">
        <v>2.246215803360644E-2</v>
      </c>
      <c r="H13">
        <v>11.509706099536571</v>
      </c>
      <c r="I13">
        <v>1.261815547943115</v>
      </c>
      <c r="J13">
        <v>16.88979569882158</v>
      </c>
      <c r="K13">
        <v>93.478195190429688</v>
      </c>
    </row>
    <row r="14" spans="1:11" x14ac:dyDescent="0.25">
      <c r="A14">
        <v>18.340905761718751</v>
      </c>
      <c r="B14" t="s">
        <v>37</v>
      </c>
      <c r="C14">
        <v>0.61584844634399905</v>
      </c>
      <c r="D14">
        <v>0.76226015841697403</v>
      </c>
      <c r="E14">
        <v>-0.44122272740270507</v>
      </c>
      <c r="F14">
        <v>0.37550953474206999</v>
      </c>
      <c r="G14">
        <v>2.197681244496625E-2</v>
      </c>
      <c r="H14">
        <v>7.9903611088433042</v>
      </c>
      <c r="I14">
        <v>1</v>
      </c>
      <c r="J14">
        <v>17.42743801332136</v>
      </c>
      <c r="K14">
        <v>79.629890441894531</v>
      </c>
    </row>
    <row r="15" spans="1:11" x14ac:dyDescent="0.25">
      <c r="A15">
        <v>20.555955562591549</v>
      </c>
      <c r="B15" t="s">
        <v>32</v>
      </c>
      <c r="C15">
        <v>0.70120823330316029</v>
      </c>
      <c r="D15">
        <v>0.82436496553000516</v>
      </c>
      <c r="E15">
        <v>-0.30032850599176419</v>
      </c>
      <c r="F15">
        <v>0.28326327010881591</v>
      </c>
      <c r="G15">
        <v>2.9971416904859129E-2</v>
      </c>
      <c r="H15">
        <v>3.0218660935823549</v>
      </c>
      <c r="I15">
        <v>0.748046875</v>
      </c>
      <c r="J15">
        <v>10.05690269033553</v>
      </c>
      <c r="K15">
        <v>63.601890563964837</v>
      </c>
    </row>
    <row r="16" spans="1:11" x14ac:dyDescent="0.25">
      <c r="A16">
        <v>21.619601585662121</v>
      </c>
      <c r="B16" t="s">
        <v>31</v>
      </c>
      <c r="C16">
        <v>0.39516231162142768</v>
      </c>
      <c r="D16">
        <v>0.56647503782148256</v>
      </c>
      <c r="E16">
        <v>-0.30220877458396372</v>
      </c>
      <c r="F16">
        <v>0.50788560614025868</v>
      </c>
      <c r="G16">
        <v>0.3326917593384659</v>
      </c>
      <c r="H16">
        <v>15.10079037437367</v>
      </c>
      <c r="I16">
        <v>4.0902318954467773</v>
      </c>
      <c r="J16">
        <v>17.4571699492618</v>
      </c>
      <c r="K16">
        <v>59.383155822753913</v>
      </c>
    </row>
    <row r="17" spans="1:11" x14ac:dyDescent="0.25">
      <c r="A17">
        <v>27.566293749176658</v>
      </c>
      <c r="B17" t="s">
        <v>30</v>
      </c>
      <c r="C17">
        <v>0.34190469531168061</v>
      </c>
      <c r="D17">
        <v>0.50958118934410213</v>
      </c>
      <c r="E17">
        <v>-0.74911743633166161</v>
      </c>
      <c r="F17">
        <v>0.62927652154134839</v>
      </c>
      <c r="G17">
        <v>0.1852453553278347</v>
      </c>
      <c r="H17">
        <v>19.42981408050284</v>
      </c>
      <c r="I17">
        <v>10.898819923400881</v>
      </c>
      <c r="J17">
        <v>21.76641801577966</v>
      </c>
      <c r="K17">
        <v>100.18995666503911</v>
      </c>
    </row>
    <row r="18" spans="1:11" x14ac:dyDescent="0.25">
      <c r="A18">
        <v>34.439978560630259</v>
      </c>
      <c r="B18" t="s">
        <v>24</v>
      </c>
      <c r="C18">
        <v>0.48508382289726321</v>
      </c>
      <c r="D18">
        <v>0.65327467098915515</v>
      </c>
      <c r="E18">
        <v>-0.47832966693682222</v>
      </c>
      <c r="F18">
        <v>0.47281051451351691</v>
      </c>
      <c r="G18">
        <v>0.14137161408136351</v>
      </c>
      <c r="H18">
        <v>12.0878759872303</v>
      </c>
      <c r="I18">
        <v>2.5</v>
      </c>
      <c r="J18">
        <v>19.620326767280641</v>
      </c>
      <c r="K18">
        <v>88.441543579101563</v>
      </c>
    </row>
    <row r="19" spans="1:11" x14ac:dyDescent="0.25">
      <c r="A19">
        <v>41.603180938230551</v>
      </c>
      <c r="B19" t="s">
        <v>15</v>
      </c>
      <c r="C19">
        <v>0.79598734034135865</v>
      </c>
      <c r="D19">
        <v>0.88640640439043117</v>
      </c>
      <c r="E19">
        <v>4.4470737801385857E-2</v>
      </c>
      <c r="F19">
        <v>9.3435806331183466E-2</v>
      </c>
      <c r="G19">
        <v>0.13287445205142101</v>
      </c>
      <c r="H19">
        <v>2.64055380672594</v>
      </c>
      <c r="I19">
        <v>0.85546875</v>
      </c>
      <c r="J19">
        <v>7.0432978290220918</v>
      </c>
      <c r="K19">
        <v>41.461002349853523</v>
      </c>
    </row>
    <row r="20" spans="1:11" x14ac:dyDescent="0.25">
      <c r="A20">
        <v>86.106643676757813</v>
      </c>
      <c r="B20" t="s">
        <v>33</v>
      </c>
      <c r="C20">
        <v>0.82102773214038283</v>
      </c>
      <c r="D20">
        <v>0.90171908713918458</v>
      </c>
      <c r="E20">
        <v>2.9457642410309088E-3</v>
      </c>
      <c r="F20">
        <v>9.6950827881255378E-2</v>
      </c>
      <c r="G20">
        <v>9.960708548604176E-2</v>
      </c>
      <c r="H20">
        <v>5.8155192756747338</v>
      </c>
      <c r="I20">
        <v>0.68359375</v>
      </c>
      <c r="J20">
        <v>19.587195118955439</v>
      </c>
      <c r="K20">
        <v>112.28810882568359</v>
      </c>
    </row>
    <row r="21" spans="1:11" x14ac:dyDescent="0.25">
      <c r="A21">
        <v>130.3364744699812</v>
      </c>
      <c r="B21" t="s">
        <v>35</v>
      </c>
      <c r="C21">
        <v>0.60228621631693113</v>
      </c>
      <c r="D21">
        <v>0.75178355799797925</v>
      </c>
      <c r="E21">
        <v>-0.35444441706301288</v>
      </c>
      <c r="F21">
        <v>0.36139196784626493</v>
      </c>
      <c r="G21">
        <v>8.628603519281168E-2</v>
      </c>
      <c r="H21">
        <v>8.3650931265544024</v>
      </c>
      <c r="I21">
        <v>1.5619964599609379</v>
      </c>
      <c r="J21">
        <v>16.364973472503351</v>
      </c>
      <c r="K21">
        <v>74.011131286621094</v>
      </c>
    </row>
    <row r="22" spans="1:11" x14ac:dyDescent="0.25">
      <c r="A22">
        <v>143.1534977944255</v>
      </c>
      <c r="B22" t="s">
        <v>14</v>
      </c>
      <c r="C22">
        <v>0.77669542173222406</v>
      </c>
      <c r="D22">
        <v>0.8743146543091439</v>
      </c>
      <c r="E22">
        <v>-0.1792703883081547</v>
      </c>
      <c r="F22">
        <v>0.19760791593382271</v>
      </c>
      <c r="G22">
        <v>3.9599676201542658E-2</v>
      </c>
      <c r="H22">
        <v>1.414585541418981</v>
      </c>
      <c r="I22">
        <v>0.705078125</v>
      </c>
      <c r="J22">
        <v>3.2290728586950972</v>
      </c>
      <c r="K22">
        <v>42.643253326416023</v>
      </c>
    </row>
    <row r="23" spans="1:11" x14ac:dyDescent="0.25">
      <c r="A23">
        <v>224.0138386165971</v>
      </c>
      <c r="B23" t="s">
        <v>28</v>
      </c>
      <c r="C23">
        <v>0.8444942651980375</v>
      </c>
      <c r="D23">
        <v>0.9156919391206314</v>
      </c>
      <c r="E23">
        <v>-0.1341500241584796</v>
      </c>
      <c r="F23">
        <v>0.14186732070844041</v>
      </c>
      <c r="G23">
        <v>1.8472062623745011E-2</v>
      </c>
      <c r="H23">
        <v>16.54219677979626</v>
      </c>
      <c r="I23">
        <v>0.77734375</v>
      </c>
      <c r="J23">
        <v>33.968721127990023</v>
      </c>
      <c r="K23">
        <v>147.52467346191409</v>
      </c>
    </row>
    <row r="24" spans="1:11" x14ac:dyDescent="0.25">
      <c r="A24">
        <v>552.39395093128951</v>
      </c>
      <c r="B24" t="s">
        <v>13</v>
      </c>
      <c r="C24">
        <v>0.86214094842574729</v>
      </c>
      <c r="D24">
        <v>0.92596744532641384</v>
      </c>
      <c r="E24">
        <v>-8.9312570914818173E-2</v>
      </c>
      <c r="F24">
        <v>0.1136152070142637</v>
      </c>
      <c r="G24">
        <v>3.074942428468495E-2</v>
      </c>
      <c r="H24">
        <v>1.4619209213252959</v>
      </c>
      <c r="I24">
        <v>0.98884463310241699</v>
      </c>
      <c r="J24">
        <v>2.0357953511280211</v>
      </c>
      <c r="K24">
        <v>36.514675140380859</v>
      </c>
    </row>
    <row r="25" spans="1:11" x14ac:dyDescent="0.25">
      <c r="A25">
        <v>690.27792794037646</v>
      </c>
      <c r="B25" t="s">
        <v>19</v>
      </c>
      <c r="C25">
        <v>0.84206592241846101</v>
      </c>
      <c r="D25">
        <v>0.91426252684041498</v>
      </c>
      <c r="E25">
        <v>-1.504088949441827E-2</v>
      </c>
      <c r="F25">
        <v>9.2561811914588885E-2</v>
      </c>
      <c r="G25">
        <v>7.8809712500781406E-2</v>
      </c>
      <c r="H25">
        <v>1.383282157552302</v>
      </c>
      <c r="I25">
        <v>0.99354457855224609</v>
      </c>
      <c r="J25">
        <v>3.072089357681536</v>
      </c>
      <c r="K25">
        <v>101.5720672607422</v>
      </c>
    </row>
    <row r="26" spans="1:11" x14ac:dyDescent="0.25">
      <c r="A26">
        <v>1035.732231447708</v>
      </c>
      <c r="B26" t="s">
        <v>23</v>
      </c>
      <c r="C26">
        <v>0.80230032087528536</v>
      </c>
      <c r="D26">
        <v>0.89030702772737569</v>
      </c>
      <c r="E26">
        <v>-0.17685668504074689</v>
      </c>
      <c r="F26">
        <v>0.18202513390475161</v>
      </c>
      <c r="G26">
        <v>2.332743627752178E-2</v>
      </c>
      <c r="H26">
        <v>2.646780288164003</v>
      </c>
      <c r="I26">
        <v>1.8046875</v>
      </c>
      <c r="J26">
        <v>5.1958918595513079</v>
      </c>
      <c r="K26">
        <v>59.761085510253913</v>
      </c>
    </row>
    <row r="29" spans="1:11" x14ac:dyDescent="0.25">
      <c r="D29">
        <f>MEDIAN(D2:D26)</f>
        <v>0.65327467098915515</v>
      </c>
      <c r="F29">
        <f>MEDIAN(F2:F26)</f>
        <v>0.4580433101314772</v>
      </c>
      <c r="G29">
        <f>MEDIAN(G2:G26)</f>
        <v>0.13287445205142101</v>
      </c>
      <c r="I29">
        <f>MEDIAN(I2:I26)</f>
        <v>1.8046875</v>
      </c>
    </row>
    <row r="30" spans="1:11" x14ac:dyDescent="0.25">
      <c r="D30">
        <f>MIN(D2:D26)</f>
        <v>0.105425494963529</v>
      </c>
      <c r="F30">
        <f>MIN(F2:F26)</f>
        <v>9.2561811914588885E-2</v>
      </c>
      <c r="G30">
        <f>MIN(G2:G26)</f>
        <v>1.8472062623745011E-2</v>
      </c>
      <c r="I30">
        <f>MIN(I2:I26)</f>
        <v>0.671875</v>
      </c>
    </row>
    <row r="31" spans="1:11" x14ac:dyDescent="0.25">
      <c r="D31">
        <f>MAX(D2:D26)</f>
        <v>0.92596744532641384</v>
      </c>
      <c r="F31">
        <f>MAX(F2:F26)</f>
        <v>0.94116461192525391</v>
      </c>
      <c r="G31">
        <f>MAX(G2:G26)</f>
        <v>0.67298105682951148</v>
      </c>
      <c r="I31">
        <f>MAX(I2:I26)</f>
        <v>109.41431045532229</v>
      </c>
    </row>
  </sheetData>
  <autoFilter ref="A1:K27">
    <sortState ref="A2:M28">
      <sortCondition ref="A1:A28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K27" sqref="K27"/>
    </sheetView>
  </sheetViews>
  <sheetFormatPr defaultRowHeight="15" x14ac:dyDescent="0.25"/>
  <cols>
    <col min="1" max="1" width="12" bestFit="1" customWidth="1"/>
    <col min="2" max="2" width="27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552.39395093128951</v>
      </c>
      <c r="B2" t="s">
        <v>13</v>
      </c>
      <c r="C2">
        <v>0.86214094842574729</v>
      </c>
      <c r="D2">
        <v>0.92596744532641384</v>
      </c>
      <c r="E2">
        <v>-8.9312570914818173E-2</v>
      </c>
      <c r="F2">
        <v>0.1136152070142637</v>
      </c>
      <c r="G2">
        <v>3.074942428468495E-2</v>
      </c>
      <c r="H2">
        <v>1.4619209213252959</v>
      </c>
      <c r="I2">
        <v>0.98884463310241699</v>
      </c>
      <c r="J2">
        <v>2.0357953511280211</v>
      </c>
      <c r="K2">
        <v>36.514675140380859</v>
      </c>
      <c r="L2">
        <v>0.94016317029987995</v>
      </c>
      <c r="M2">
        <v>0.99897008590983805</v>
      </c>
    </row>
    <row r="3" spans="1:13" x14ac:dyDescent="0.25">
      <c r="A3">
        <v>143.1534977944255</v>
      </c>
      <c r="B3" t="s">
        <v>14</v>
      </c>
      <c r="C3">
        <v>0.77669542173222406</v>
      </c>
      <c r="D3">
        <v>0.8743146543091439</v>
      </c>
      <c r="E3">
        <v>-0.1792703883081547</v>
      </c>
      <c r="F3">
        <v>0.19760791593382271</v>
      </c>
      <c r="G3">
        <v>3.9599676201542658E-2</v>
      </c>
      <c r="H3">
        <v>1.414585541418981</v>
      </c>
      <c r="I3">
        <v>0.705078125</v>
      </c>
      <c r="J3">
        <v>3.2290728586950972</v>
      </c>
      <c r="K3">
        <v>42.643253326416023</v>
      </c>
      <c r="L3">
        <v>0.89124152861888051</v>
      </c>
      <c r="M3">
        <v>0.99969840515399611</v>
      </c>
    </row>
    <row r="4" spans="1:13" x14ac:dyDescent="0.25">
      <c r="A4">
        <v>41.603180938230551</v>
      </c>
      <c r="B4" t="s">
        <v>15</v>
      </c>
      <c r="C4">
        <v>0.79598734034135865</v>
      </c>
      <c r="D4">
        <v>0.88640640439043117</v>
      </c>
      <c r="E4">
        <v>4.4470737801385857E-2</v>
      </c>
      <c r="F4">
        <v>9.3435806331183466E-2</v>
      </c>
      <c r="G4">
        <v>0.13287445205142101</v>
      </c>
      <c r="H4">
        <v>2.64055380672594</v>
      </c>
      <c r="I4">
        <v>0.85546875</v>
      </c>
      <c r="J4">
        <v>7.0432978290220918</v>
      </c>
      <c r="K4">
        <v>41.461002349853523</v>
      </c>
      <c r="L4">
        <v>0.95268562235360954</v>
      </c>
      <c r="M4">
        <v>0.99963237735339827</v>
      </c>
    </row>
    <row r="5" spans="1:13" x14ac:dyDescent="0.25">
      <c r="A5">
        <v>3.664251911757018</v>
      </c>
      <c r="B5" t="s">
        <v>16</v>
      </c>
      <c r="C5">
        <v>5.5646001085346362E-2</v>
      </c>
      <c r="D5">
        <v>0.105425494963529</v>
      </c>
      <c r="E5">
        <v>-1.5837443556790549</v>
      </c>
      <c r="F5">
        <v>0.94116461192525391</v>
      </c>
      <c r="G5">
        <v>0.49345794392523362</v>
      </c>
      <c r="H5">
        <v>71.637753583704693</v>
      </c>
      <c r="I5">
        <v>73.81591796875</v>
      </c>
      <c r="J5">
        <v>50.71473971093576</v>
      </c>
      <c r="K5">
        <v>220.22071838378909</v>
      </c>
      <c r="L5">
        <v>0.11203087282229091</v>
      </c>
      <c r="M5">
        <v>0.99983040337161988</v>
      </c>
    </row>
    <row r="6" spans="1:13" x14ac:dyDescent="0.25">
      <c r="A6">
        <v>17.05710504150391</v>
      </c>
      <c r="B6" t="s">
        <v>17</v>
      </c>
      <c r="C6">
        <v>0.44167843137254897</v>
      </c>
      <c r="D6">
        <v>0.61272808382386545</v>
      </c>
      <c r="E6">
        <v>-0.74638493259490568</v>
      </c>
      <c r="F6">
        <v>0.55379300508692142</v>
      </c>
      <c r="G6">
        <v>2.246215803360644E-2</v>
      </c>
      <c r="H6">
        <v>11.509706099536571</v>
      </c>
      <c r="I6">
        <v>1.261815547943115</v>
      </c>
      <c r="J6">
        <v>16.88979569882158</v>
      </c>
      <c r="K6">
        <v>93.478195190429688</v>
      </c>
      <c r="L6">
        <v>0.61781767560341994</v>
      </c>
      <c r="M6">
        <v>0.99997639426425999</v>
      </c>
    </row>
    <row r="7" spans="1:13" x14ac:dyDescent="0.25">
      <c r="A7">
        <v>5.7162810058593747</v>
      </c>
      <c r="B7" t="s">
        <v>18</v>
      </c>
      <c r="C7">
        <v>0.60622247888544001</v>
      </c>
      <c r="D7">
        <v>0.75484247898970835</v>
      </c>
      <c r="E7">
        <v>0.27639207226641499</v>
      </c>
      <c r="F7">
        <v>0.124113475177305</v>
      </c>
      <c r="G7">
        <v>0.33680802337518762</v>
      </c>
      <c r="H7">
        <v>3.3325771190024711</v>
      </c>
      <c r="I7">
        <v>0.671875</v>
      </c>
      <c r="J7">
        <v>9.4132422265635363</v>
      </c>
      <c r="K7">
        <v>60.434658050537109</v>
      </c>
      <c r="L7">
        <v>0.94112230374833017</v>
      </c>
      <c r="M7">
        <v>0.99987088683513659</v>
      </c>
    </row>
    <row r="8" spans="1:13" x14ac:dyDescent="0.25">
      <c r="A8">
        <v>690.27792794037646</v>
      </c>
      <c r="B8" t="s">
        <v>19</v>
      </c>
      <c r="C8">
        <v>0.84206592241846101</v>
      </c>
      <c r="D8">
        <v>0.91426252684041498</v>
      </c>
      <c r="E8">
        <v>-1.504088949441827E-2</v>
      </c>
      <c r="F8">
        <v>9.2561811914588885E-2</v>
      </c>
      <c r="G8">
        <v>7.8809712500781406E-2</v>
      </c>
      <c r="H8">
        <v>1.383282157552302</v>
      </c>
      <c r="I8">
        <v>0.99354457855224609</v>
      </c>
      <c r="J8">
        <v>3.072089357681536</v>
      </c>
      <c r="K8">
        <v>101.5720672607422</v>
      </c>
      <c r="L8">
        <v>0.95236295370485247</v>
      </c>
      <c r="M8">
        <v>0.99786075160092258</v>
      </c>
    </row>
    <row r="9" spans="1:13" x14ac:dyDescent="0.25">
      <c r="A9">
        <v>1.4620907249450681</v>
      </c>
      <c r="B9" t="s">
        <v>20</v>
      </c>
      <c r="C9">
        <v>0.13086140201905841</v>
      </c>
      <c r="D9">
        <v>0.2314366761221425</v>
      </c>
      <c r="E9">
        <v>-1.4808943767729019</v>
      </c>
      <c r="F9">
        <v>0.86702459134269694</v>
      </c>
      <c r="G9">
        <v>0.1083252973320476</v>
      </c>
      <c r="H9">
        <v>49.207901083253077</v>
      </c>
      <c r="I9">
        <v>20.69221305847168</v>
      </c>
      <c r="J9">
        <v>47.501562434579988</v>
      </c>
      <c r="K9">
        <v>129.85791015625</v>
      </c>
      <c r="L9">
        <v>0.23532582983276709</v>
      </c>
      <c r="M9">
        <v>0.99997815974764848</v>
      </c>
    </row>
    <row r="10" spans="1:13" x14ac:dyDescent="0.25">
      <c r="A10">
        <v>14.5011157392595</v>
      </c>
      <c r="B10" t="s">
        <v>21</v>
      </c>
      <c r="C10">
        <v>0.22333286284372469</v>
      </c>
      <c r="D10">
        <v>0.36512198703559973</v>
      </c>
      <c r="E10">
        <v>-0.65497493129706941</v>
      </c>
      <c r="F10">
        <v>0.72495259165613146</v>
      </c>
      <c r="G10">
        <v>0.45707779649385488</v>
      </c>
      <c r="H10">
        <v>26.901814077510679</v>
      </c>
      <c r="I10">
        <v>3.2067573070526119</v>
      </c>
      <c r="J10">
        <v>34.370606096333397</v>
      </c>
      <c r="K10">
        <v>120.55596923828119</v>
      </c>
      <c r="L10">
        <v>0.45384976304157132</v>
      </c>
      <c r="M10">
        <v>0.99938692590381717</v>
      </c>
    </row>
    <row r="11" spans="1:13" x14ac:dyDescent="0.25">
      <c r="A11">
        <v>1.5590632438659671</v>
      </c>
      <c r="B11" t="s">
        <v>22</v>
      </c>
      <c r="C11">
        <v>0.49946543121881681</v>
      </c>
      <c r="D11">
        <v>0.66619132501485434</v>
      </c>
      <c r="E11">
        <v>-0.45846702317290561</v>
      </c>
      <c r="F11">
        <v>0.4580433101314772</v>
      </c>
      <c r="G11">
        <v>0.1356768424298489</v>
      </c>
      <c r="H11">
        <v>18.10375182103197</v>
      </c>
      <c r="I11">
        <v>0.98055821657180786</v>
      </c>
      <c r="J11">
        <v>36.739718020478307</v>
      </c>
      <c r="K11">
        <v>139.10227966308591</v>
      </c>
      <c r="L11">
        <v>0.70861656863410627</v>
      </c>
      <c r="M11">
        <v>0.99998417974082299</v>
      </c>
    </row>
    <row r="12" spans="1:13" x14ac:dyDescent="0.25">
      <c r="A12">
        <v>1035.732231447708</v>
      </c>
      <c r="B12" t="s">
        <v>23</v>
      </c>
      <c r="C12">
        <v>0.80230032087528536</v>
      </c>
      <c r="D12">
        <v>0.89030702772737569</v>
      </c>
      <c r="E12">
        <v>-0.17685668504074689</v>
      </c>
      <c r="F12">
        <v>0.18202513390475161</v>
      </c>
      <c r="G12">
        <v>2.332743627752178E-2</v>
      </c>
      <c r="H12">
        <v>2.646780288164003</v>
      </c>
      <c r="I12">
        <v>1.8046875</v>
      </c>
      <c r="J12">
        <v>5.1958918595513079</v>
      </c>
      <c r="K12">
        <v>59.761085510253913</v>
      </c>
      <c r="L12">
        <v>0.90030824505721307</v>
      </c>
      <c r="M12">
        <v>0.99903786949134721</v>
      </c>
    </row>
    <row r="13" spans="1:13" x14ac:dyDescent="0.25">
      <c r="A13">
        <v>34.439978560630259</v>
      </c>
      <c r="B13" t="s">
        <v>24</v>
      </c>
      <c r="C13">
        <v>0.48508382289726321</v>
      </c>
      <c r="D13">
        <v>0.65327467098915515</v>
      </c>
      <c r="E13">
        <v>-0.47832966693682222</v>
      </c>
      <c r="F13">
        <v>0.47281051451351691</v>
      </c>
      <c r="G13">
        <v>0.14137161408136351</v>
      </c>
      <c r="H13">
        <v>12.0878759872303</v>
      </c>
      <c r="I13">
        <v>2.5</v>
      </c>
      <c r="J13">
        <v>19.620326767280641</v>
      </c>
      <c r="K13">
        <v>88.441543579101563</v>
      </c>
      <c r="L13">
        <v>0.6962930648647937</v>
      </c>
      <c r="M13">
        <v>0.99958013038235327</v>
      </c>
    </row>
    <row r="14" spans="1:13" x14ac:dyDescent="0.25">
      <c r="A14">
        <v>7.5197804218483038</v>
      </c>
      <c r="B14" t="s">
        <v>25</v>
      </c>
      <c r="C14">
        <v>6.5214282309195792E-2</v>
      </c>
      <c r="D14">
        <v>0.1224434996643545</v>
      </c>
      <c r="E14">
        <v>-1.534213470575073</v>
      </c>
      <c r="F14">
        <v>0.93070961859899715</v>
      </c>
      <c r="G14">
        <v>0.47425057647963098</v>
      </c>
      <c r="H14">
        <v>96.503412402294401</v>
      </c>
      <c r="I14">
        <v>109.41431045532229</v>
      </c>
      <c r="J14">
        <v>49.299960818001537</v>
      </c>
      <c r="K14">
        <v>173.95166015625</v>
      </c>
      <c r="L14">
        <v>0.1306860003757476</v>
      </c>
      <c r="M14">
        <v>0.99959145931087034</v>
      </c>
    </row>
    <row r="15" spans="1:13" x14ac:dyDescent="0.25">
      <c r="A15">
        <v>4.6132278442382813</v>
      </c>
      <c r="B15" t="s">
        <v>26</v>
      </c>
      <c r="C15">
        <v>9.3109769968820671E-2</v>
      </c>
      <c r="D15">
        <v>0.17035758443816029</v>
      </c>
      <c r="E15">
        <v>-1.634458359347265</v>
      </c>
      <c r="F15">
        <v>0.90625421034194709</v>
      </c>
      <c r="G15">
        <v>6.7916945746818488E-2</v>
      </c>
      <c r="H15">
        <v>58.141059973502372</v>
      </c>
      <c r="I15">
        <v>62.235034942626953</v>
      </c>
      <c r="J15">
        <v>36.967353259056573</v>
      </c>
      <c r="K15">
        <v>120.960205078125</v>
      </c>
      <c r="L15">
        <v>0.17154644222352461</v>
      </c>
      <c r="M15">
        <v>0.99996698385229943</v>
      </c>
    </row>
    <row r="16" spans="1:13" x14ac:dyDescent="0.25">
      <c r="A16">
        <v>224.0138386165971</v>
      </c>
      <c r="B16" t="s">
        <v>28</v>
      </c>
      <c r="C16">
        <v>0.8444942651980375</v>
      </c>
      <c r="D16">
        <v>0.9156919391206314</v>
      </c>
      <c r="E16">
        <v>-0.1341500241584796</v>
      </c>
      <c r="F16">
        <v>0.14186732070844041</v>
      </c>
      <c r="G16">
        <v>1.8472062623745011E-2</v>
      </c>
      <c r="H16">
        <v>16.54219677979626</v>
      </c>
      <c r="I16">
        <v>0.77734375</v>
      </c>
      <c r="J16">
        <v>33.968721127990023</v>
      </c>
      <c r="K16">
        <v>147.52467346191409</v>
      </c>
      <c r="L16">
        <v>0.92395099755919063</v>
      </c>
      <c r="M16">
        <v>0.99980568891286947</v>
      </c>
    </row>
    <row r="17" spans="1:13" x14ac:dyDescent="0.25">
      <c r="A17">
        <v>6.4644763955862699</v>
      </c>
      <c r="B17" t="s">
        <v>29</v>
      </c>
      <c r="C17">
        <v>0.21357142857142861</v>
      </c>
      <c r="D17">
        <v>0.35197174808711013</v>
      </c>
      <c r="E17">
        <v>-0.80211889346674514</v>
      </c>
      <c r="F17">
        <v>0.74878171735842713</v>
      </c>
      <c r="G17">
        <v>0.41234276729559749</v>
      </c>
      <c r="H17">
        <v>26.184689632449491</v>
      </c>
      <c r="I17">
        <v>23.504824638366699</v>
      </c>
      <c r="J17">
        <v>28.7492063632011</v>
      </c>
      <c r="K17">
        <v>91.604789733886719</v>
      </c>
      <c r="L17">
        <v>0.41752088352929623</v>
      </c>
      <c r="M17">
        <v>0.99982141748612641</v>
      </c>
    </row>
    <row r="18" spans="1:13" x14ac:dyDescent="0.25">
      <c r="A18">
        <v>27.566293749176658</v>
      </c>
      <c r="B18" t="s">
        <v>30</v>
      </c>
      <c r="C18">
        <v>0.34190469531168061</v>
      </c>
      <c r="D18">
        <v>0.50958118934410213</v>
      </c>
      <c r="E18">
        <v>-0.74911743633166161</v>
      </c>
      <c r="F18">
        <v>0.62927652154134839</v>
      </c>
      <c r="G18">
        <v>0.1852453553278347</v>
      </c>
      <c r="H18">
        <v>19.42981408050284</v>
      </c>
      <c r="I18">
        <v>10.898819923400881</v>
      </c>
      <c r="J18">
        <v>21.76641801577966</v>
      </c>
      <c r="K18">
        <v>100.18995666503911</v>
      </c>
      <c r="L18">
        <v>0.54780642921683464</v>
      </c>
      <c r="M18">
        <v>0.99952439609969612</v>
      </c>
    </row>
    <row r="19" spans="1:13" x14ac:dyDescent="0.25">
      <c r="A19">
        <v>21.619601585662121</v>
      </c>
      <c r="B19" t="s">
        <v>31</v>
      </c>
      <c r="C19">
        <v>0.39516231162142768</v>
      </c>
      <c r="D19">
        <v>0.56647503782148256</v>
      </c>
      <c r="E19">
        <v>-0.30220877458396372</v>
      </c>
      <c r="F19">
        <v>0.50788560614025868</v>
      </c>
      <c r="G19">
        <v>0.3326917593384659</v>
      </c>
      <c r="H19">
        <v>15.10079037437367</v>
      </c>
      <c r="I19">
        <v>4.0902318954467773</v>
      </c>
      <c r="J19">
        <v>17.4571699492618</v>
      </c>
      <c r="K19">
        <v>59.383155822753913</v>
      </c>
      <c r="L19">
        <v>0.6787162557248746</v>
      </c>
      <c r="M19">
        <v>0.99943721603010127</v>
      </c>
    </row>
    <row r="20" spans="1:13" x14ac:dyDescent="0.25">
      <c r="A20">
        <v>20.555955562591549</v>
      </c>
      <c r="B20" t="s">
        <v>32</v>
      </c>
      <c r="C20">
        <v>0.70120823330316029</v>
      </c>
      <c r="D20">
        <v>0.82436496553000516</v>
      </c>
      <c r="E20">
        <v>-0.30032850599176419</v>
      </c>
      <c r="F20">
        <v>0.28326327010881591</v>
      </c>
      <c r="G20">
        <v>2.9971416904859129E-2</v>
      </c>
      <c r="H20">
        <v>3.0218660935823549</v>
      </c>
      <c r="I20">
        <v>0.748046875</v>
      </c>
      <c r="J20">
        <v>10.05690269033553</v>
      </c>
      <c r="K20">
        <v>63.601890563964837</v>
      </c>
      <c r="L20">
        <v>0.83587623416071322</v>
      </c>
      <c r="M20">
        <v>0.99996744428420603</v>
      </c>
    </row>
    <row r="21" spans="1:13" x14ac:dyDescent="0.25">
      <c r="A21">
        <v>86.106643676757813</v>
      </c>
      <c r="B21" t="s">
        <v>33</v>
      </c>
      <c r="C21">
        <v>0.82102773214038283</v>
      </c>
      <c r="D21">
        <v>0.90171908713918458</v>
      </c>
      <c r="E21">
        <v>2.9457642410309088E-3</v>
      </c>
      <c r="F21">
        <v>9.6950827881255378E-2</v>
      </c>
      <c r="G21">
        <v>9.960708548604176E-2</v>
      </c>
      <c r="H21">
        <v>5.8155192756747338</v>
      </c>
      <c r="I21">
        <v>0.68359375</v>
      </c>
      <c r="J21">
        <v>19.587195118955439</v>
      </c>
      <c r="K21">
        <v>112.28810882568359</v>
      </c>
      <c r="L21">
        <v>0.95030936105948149</v>
      </c>
      <c r="M21">
        <v>0.99927553217702247</v>
      </c>
    </row>
    <row r="22" spans="1:13" x14ac:dyDescent="0.25">
      <c r="A22">
        <v>5.6914278474145252</v>
      </c>
      <c r="B22" t="s">
        <v>34</v>
      </c>
      <c r="C22">
        <v>0.1084979935998375</v>
      </c>
      <c r="D22">
        <v>0.19575677037987449</v>
      </c>
      <c r="E22">
        <v>-1.103148054804564</v>
      </c>
      <c r="F22">
        <v>0.87383343177790906</v>
      </c>
      <c r="G22">
        <v>0.56345800122624157</v>
      </c>
      <c r="H22">
        <v>27.43031602210274</v>
      </c>
      <c r="I22">
        <v>26.98709678649902</v>
      </c>
      <c r="J22">
        <v>21.46243222815519</v>
      </c>
      <c r="K22">
        <v>90.358177185058594</v>
      </c>
      <c r="L22">
        <v>0.23380332466569309</v>
      </c>
      <c r="M22">
        <v>0.99969706392457713</v>
      </c>
    </row>
    <row r="23" spans="1:13" x14ac:dyDescent="0.25">
      <c r="A23">
        <v>130.3364744699812</v>
      </c>
      <c r="B23" t="s">
        <v>35</v>
      </c>
      <c r="C23">
        <v>0.60228621631693113</v>
      </c>
      <c r="D23">
        <v>0.75178355799797925</v>
      </c>
      <c r="E23">
        <v>-0.35444441706301288</v>
      </c>
      <c r="F23">
        <v>0.36139196784626493</v>
      </c>
      <c r="G23">
        <v>8.628603519281168E-2</v>
      </c>
      <c r="H23">
        <v>8.3650931265544024</v>
      </c>
      <c r="I23">
        <v>1.5619964599609379</v>
      </c>
      <c r="J23">
        <v>16.364973472503351</v>
      </c>
      <c r="K23">
        <v>74.011131286621094</v>
      </c>
      <c r="L23">
        <v>0.78248087536666733</v>
      </c>
      <c r="M23">
        <v>0.99917086547717493</v>
      </c>
    </row>
    <row r="24" spans="1:13" x14ac:dyDescent="0.25">
      <c r="A24">
        <v>6.3111357029993087</v>
      </c>
      <c r="B24" t="s">
        <v>36</v>
      </c>
      <c r="C24">
        <v>0.30457044303115233</v>
      </c>
      <c r="D24">
        <v>0.46692832059491851</v>
      </c>
      <c r="E24">
        <v>0.44114852303243129</v>
      </c>
      <c r="F24">
        <v>0.40093289515530578</v>
      </c>
      <c r="G24">
        <v>0.61745193609531546</v>
      </c>
      <c r="H24">
        <v>19.2249768230595</v>
      </c>
      <c r="I24">
        <v>2.2386775016784668</v>
      </c>
      <c r="J24">
        <v>21.88547639873698</v>
      </c>
      <c r="K24">
        <v>85.596000671386719</v>
      </c>
      <c r="L24">
        <v>0.80858747881033344</v>
      </c>
      <c r="M24">
        <v>0.99972657439467327</v>
      </c>
    </row>
    <row r="25" spans="1:13" x14ac:dyDescent="0.25">
      <c r="A25">
        <v>18.340905761718751</v>
      </c>
      <c r="B25" t="s">
        <v>37</v>
      </c>
      <c r="C25">
        <v>0.61584844634399905</v>
      </c>
      <c r="D25">
        <v>0.76226015841697403</v>
      </c>
      <c r="E25">
        <v>-0.44122272740270507</v>
      </c>
      <c r="F25">
        <v>0.37550953474206999</v>
      </c>
      <c r="G25">
        <v>2.197681244496625E-2</v>
      </c>
      <c r="H25">
        <v>7.9903611088433042</v>
      </c>
      <c r="I25">
        <v>1</v>
      </c>
      <c r="J25">
        <v>17.42743801332136</v>
      </c>
      <c r="K25">
        <v>79.629890441894531</v>
      </c>
      <c r="L25">
        <v>0.76958764945394909</v>
      </c>
      <c r="M25">
        <v>0.99997586456904353</v>
      </c>
    </row>
    <row r="26" spans="1:13" x14ac:dyDescent="0.25">
      <c r="L26">
        <f>MEDIAN(L2:L25)</f>
        <v>0.73910210904402773</v>
      </c>
      <c r="M26">
        <f>MEDIAN(M2:M25)</f>
        <v>0.99969773453928656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2020-08-10T15:17:36Z</dcterms:created>
  <dcterms:modified xsi:type="dcterms:W3CDTF">2020-08-10T22:06:45Z</dcterms:modified>
</cp:coreProperties>
</file>