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CNN\For_DGX_Station\Projects\Segmentation\Liver_Disease_Ablation_Segmentation\Deep_Learning\Evaluate_Model\Volume\"/>
    </mc:Choice>
  </mc:AlternateContent>
  <bookViews>
    <workbookView xWindow="0" yWindow="0" windowWidth="21600" windowHeight="960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C31" i="1" l="1"/>
  <c r="D31" i="1"/>
  <c r="E31" i="1"/>
  <c r="F31" i="1"/>
  <c r="G31" i="1"/>
  <c r="H31" i="1"/>
  <c r="I31" i="1"/>
  <c r="J31" i="1"/>
  <c r="K31" i="1"/>
  <c r="L31" i="1"/>
  <c r="M31" i="1"/>
  <c r="N31" i="1"/>
  <c r="C32" i="1"/>
  <c r="D32" i="1"/>
  <c r="E32" i="1"/>
  <c r="F32" i="1"/>
  <c r="G32" i="1"/>
  <c r="H32" i="1"/>
  <c r="I32" i="1"/>
  <c r="J32" i="1"/>
  <c r="K32" i="1"/>
  <c r="L32" i="1"/>
  <c r="M32" i="1"/>
  <c r="N32" i="1"/>
  <c r="C30" i="1"/>
  <c r="C20" i="1"/>
  <c r="D20" i="1"/>
  <c r="E20" i="1"/>
  <c r="F20" i="1"/>
  <c r="G20" i="1"/>
  <c r="H20" i="1"/>
  <c r="I20" i="1"/>
  <c r="J20" i="1"/>
  <c r="K20" i="1"/>
  <c r="L20" i="1"/>
  <c r="M20" i="1"/>
  <c r="N20" i="1"/>
  <c r="C21" i="1"/>
  <c r="D21" i="1"/>
  <c r="E21" i="1"/>
  <c r="F21" i="1"/>
  <c r="G21" i="1"/>
  <c r="H21" i="1"/>
  <c r="I21" i="1"/>
  <c r="J21" i="1"/>
  <c r="K21" i="1"/>
  <c r="L21" i="1"/>
  <c r="M21" i="1"/>
  <c r="N21" i="1"/>
  <c r="C22" i="1"/>
  <c r="D22" i="1"/>
  <c r="E22" i="1"/>
  <c r="F22" i="1"/>
  <c r="G22" i="1"/>
  <c r="H22" i="1"/>
  <c r="I22" i="1"/>
  <c r="J22" i="1"/>
  <c r="K22" i="1"/>
  <c r="L22" i="1"/>
  <c r="M22" i="1"/>
  <c r="N22" i="1"/>
  <c r="C23" i="1"/>
  <c r="D23" i="1"/>
  <c r="E23" i="1"/>
  <c r="F23" i="1"/>
  <c r="G23" i="1"/>
  <c r="H23" i="1"/>
  <c r="I23" i="1"/>
  <c r="J23" i="1"/>
  <c r="K23" i="1"/>
  <c r="L23" i="1"/>
  <c r="M23" i="1"/>
  <c r="N23" i="1"/>
  <c r="C24" i="1"/>
  <c r="D24" i="1"/>
  <c r="E24" i="1"/>
  <c r="F24" i="1"/>
  <c r="G24" i="1"/>
  <c r="H24" i="1"/>
  <c r="I24" i="1"/>
  <c r="J24" i="1"/>
  <c r="K24" i="1"/>
  <c r="L24" i="1"/>
  <c r="M24" i="1"/>
  <c r="N24" i="1"/>
  <c r="C25" i="1"/>
  <c r="D25" i="1"/>
  <c r="E25" i="1"/>
  <c r="F25" i="1"/>
  <c r="G25" i="1"/>
  <c r="H25" i="1"/>
  <c r="I25" i="1"/>
  <c r="J25" i="1"/>
  <c r="K25" i="1"/>
  <c r="L25" i="1"/>
  <c r="M25" i="1"/>
  <c r="N25" i="1"/>
  <c r="C26" i="1"/>
  <c r="D26" i="1"/>
  <c r="E26" i="1"/>
  <c r="F26" i="1"/>
  <c r="G26" i="1"/>
  <c r="H26" i="1"/>
  <c r="I26" i="1"/>
  <c r="J26" i="1"/>
  <c r="K26" i="1"/>
  <c r="L26" i="1"/>
  <c r="M26" i="1"/>
  <c r="N26" i="1"/>
  <c r="C27" i="1"/>
  <c r="D27" i="1"/>
  <c r="E27" i="1"/>
  <c r="F27" i="1"/>
  <c r="G27" i="1"/>
  <c r="H27" i="1"/>
  <c r="I27" i="1"/>
  <c r="J27" i="1"/>
  <c r="K27" i="1"/>
  <c r="L27" i="1"/>
  <c r="M27" i="1"/>
  <c r="N27" i="1"/>
  <c r="C28" i="1"/>
  <c r="D28" i="1"/>
  <c r="E28" i="1"/>
  <c r="F28" i="1"/>
  <c r="G28" i="1"/>
  <c r="H28" i="1"/>
  <c r="I28" i="1"/>
  <c r="J28" i="1"/>
  <c r="K28" i="1"/>
  <c r="L28" i="1"/>
  <c r="M28" i="1"/>
  <c r="N28" i="1"/>
  <c r="C29" i="1"/>
  <c r="D29" i="1"/>
  <c r="E29" i="1"/>
  <c r="F29" i="1"/>
  <c r="G29" i="1"/>
  <c r="H29" i="1"/>
  <c r="I29" i="1"/>
  <c r="J29" i="1"/>
  <c r="K29" i="1"/>
  <c r="L29" i="1"/>
  <c r="M29" i="1"/>
  <c r="N29" i="1"/>
  <c r="D30" i="1"/>
  <c r="E30" i="1"/>
  <c r="F30" i="1"/>
  <c r="G30" i="1"/>
  <c r="H30" i="1"/>
  <c r="I30" i="1"/>
  <c r="J30" i="1"/>
  <c r="K30" i="1"/>
  <c r="L30" i="1"/>
  <c r="M30" i="1"/>
  <c r="N30" i="1"/>
  <c r="N19" i="1"/>
  <c r="D19" i="1"/>
  <c r="E19" i="1"/>
  <c r="F19" i="1"/>
  <c r="G19" i="1"/>
  <c r="H19" i="1"/>
  <c r="I19" i="1"/>
  <c r="J19" i="1"/>
  <c r="K19" i="1"/>
  <c r="L19" i="1"/>
  <c r="M19" i="1"/>
  <c r="C19" i="1"/>
  <c r="C17" i="1"/>
  <c r="D17" i="1"/>
  <c r="E17" i="1"/>
  <c r="F17" i="1"/>
  <c r="G17" i="1"/>
  <c r="H17" i="1"/>
  <c r="I17" i="1"/>
  <c r="J17" i="1"/>
  <c r="K17" i="1"/>
  <c r="L17" i="1"/>
  <c r="M17" i="1"/>
  <c r="N17" i="1"/>
  <c r="B17" i="1"/>
</calcChain>
</file>

<file path=xl/sharedStrings.xml><?xml version="1.0" encoding="utf-8"?>
<sst xmlns="http://schemas.openxmlformats.org/spreadsheetml/2006/main" count="30" uniqueCount="30">
  <si>
    <t>Patient_ID</t>
  </si>
  <si>
    <t>Volume_0</t>
  </si>
  <si>
    <t>Volume_0.01</t>
  </si>
  <si>
    <t>Volume_0.1</t>
  </si>
  <si>
    <t>Volume_1</t>
  </si>
  <si>
    <t>Volume_2</t>
  </si>
  <si>
    <t>Volume_3</t>
  </si>
  <si>
    <t>Volume_4</t>
  </si>
  <si>
    <t>Volume_5</t>
  </si>
  <si>
    <t>Volume_6</t>
  </si>
  <si>
    <t>Volume_7</t>
  </si>
  <si>
    <t>Volume_8</t>
  </si>
  <si>
    <t>Volume_9</t>
  </si>
  <si>
    <t>Volume_10</t>
  </si>
  <si>
    <t>LiTs123</t>
  </si>
  <si>
    <t>LiTs124</t>
  </si>
  <si>
    <t>LiTs128</t>
  </si>
  <si>
    <t>LiTs1</t>
  </si>
  <si>
    <t>LiTs21</t>
  </si>
  <si>
    <t>LiTs22</t>
  </si>
  <si>
    <t>LiTs26</t>
  </si>
  <si>
    <t>LiTs30</t>
  </si>
  <si>
    <t>LiTs37</t>
  </si>
  <si>
    <t>LiTs45</t>
  </si>
  <si>
    <t>LiTs54</t>
  </si>
  <si>
    <t>LiTs74</t>
  </si>
  <si>
    <t>LiTs95</t>
  </si>
  <si>
    <t>LiTs98</t>
  </si>
  <si>
    <t>x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</si>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</sst>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LiTs123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Sheet1!$B$2:$N$2</c:f>
              <c:numCache>
                <c:formatCode>General</c:formatCode>
                <c:ptCount val="13"/>
                <c:pt idx="0">
                  <c:v>0</c:v>
                </c:pt>
                <c:pt idx="1">
                  <c:v>0.01</c:v>
                </c:pt>
                <c:pt idx="2">
                  <c:v>0.1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</c:numCache>
            </c:numRef>
          </c:xVal>
          <c:yVal>
            <c:numRef>
              <c:f>Sheet1!$B$3:$N$3</c:f>
              <c:numCache>
                <c:formatCode>General</c:formatCode>
                <c:ptCount val="13"/>
                <c:pt idx="0">
                  <c:v>0.55608526314839857</c:v>
                </c:pt>
                <c:pt idx="1">
                  <c:v>0.50807624211409441</c:v>
                </c:pt>
                <c:pt idx="2">
                  <c:v>0.54320640472445103</c:v>
                </c:pt>
                <c:pt idx="3">
                  <c:v>0.60086070592783936</c:v>
                </c:pt>
                <c:pt idx="4">
                  <c:v>0.60313648275272735</c:v>
                </c:pt>
                <c:pt idx="5">
                  <c:v>0.60313648275272735</c:v>
                </c:pt>
                <c:pt idx="6">
                  <c:v>0.60260586905175217</c:v>
                </c:pt>
                <c:pt idx="7">
                  <c:v>0.61326942897994086</c:v>
                </c:pt>
                <c:pt idx="8">
                  <c:v>0.61326942897994086</c:v>
                </c:pt>
                <c:pt idx="9">
                  <c:v>0.61326942897994086</c:v>
                </c:pt>
                <c:pt idx="10">
                  <c:v>0.61326942897994086</c:v>
                </c:pt>
                <c:pt idx="11">
                  <c:v>0.61836182941457385</c:v>
                </c:pt>
                <c:pt idx="12">
                  <c:v>0.61836182941457385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CF-4E93-BA00-06C18616B471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LiTs124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Sheet1!$B$2:$N$2</c:f>
              <c:numCache>
                <c:formatCode>General</c:formatCode>
                <c:ptCount val="13"/>
                <c:pt idx="0">
                  <c:v>0</c:v>
                </c:pt>
                <c:pt idx="1">
                  <c:v>0.01</c:v>
                </c:pt>
                <c:pt idx="2">
                  <c:v>0.1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</c:numCache>
            </c:numRef>
          </c:xVal>
          <c:yVal>
            <c:numRef>
              <c:f>Sheet1!$B$4:$N$4</c:f>
              <c:numCache>
                <c:formatCode>General</c:formatCode>
                <c:ptCount val="13"/>
                <c:pt idx="0">
                  <c:v>0.29432678008087759</c:v>
                </c:pt>
                <c:pt idx="1">
                  <c:v>0.2607720150733836</c:v>
                </c:pt>
                <c:pt idx="2">
                  <c:v>0.29105164507815368</c:v>
                </c:pt>
                <c:pt idx="3">
                  <c:v>0.3077819208921716</c:v>
                </c:pt>
                <c:pt idx="4">
                  <c:v>0.32305725779164629</c:v>
                </c:pt>
                <c:pt idx="5">
                  <c:v>0.33824091051125332</c:v>
                </c:pt>
                <c:pt idx="6">
                  <c:v>0.33824091051125332</c:v>
                </c:pt>
                <c:pt idx="7">
                  <c:v>0.34611549646863321</c:v>
                </c:pt>
                <c:pt idx="8">
                  <c:v>0.34611549646863321</c:v>
                </c:pt>
                <c:pt idx="9">
                  <c:v>0.34611549646863321</c:v>
                </c:pt>
                <c:pt idx="10">
                  <c:v>0.34611549646863321</c:v>
                </c:pt>
                <c:pt idx="11">
                  <c:v>0.34611549646863321</c:v>
                </c:pt>
                <c:pt idx="12">
                  <c:v>0.34611549646863321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CF-4E93-BA00-06C18616B471}"/>
            </c:ext>
          </c:extLst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LiTs128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Sheet1!$B$2:$N$2</c:f>
              <c:numCache>
                <c:formatCode>General</c:formatCode>
                <c:ptCount val="13"/>
                <c:pt idx="0">
                  <c:v>0</c:v>
                </c:pt>
                <c:pt idx="1">
                  <c:v>0.01</c:v>
                </c:pt>
                <c:pt idx="2">
                  <c:v>0.1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</c:numCache>
            </c:numRef>
          </c:xVal>
          <c:yVal>
            <c:numRef>
              <c:f>Sheet1!$B$5:$N$5</c:f>
              <c:numCache>
                <c:formatCode>General</c:formatCode>
                <c:ptCount val="13"/>
                <c:pt idx="0">
                  <c:v>0.33085520270674851</c:v>
                </c:pt>
                <c:pt idx="1">
                  <c:v>0.28130440190950901</c:v>
                </c:pt>
                <c:pt idx="2">
                  <c:v>0.30376296704491501</c:v>
                </c:pt>
                <c:pt idx="3">
                  <c:v>0.33637178059906808</c:v>
                </c:pt>
                <c:pt idx="4">
                  <c:v>0.35429302048818567</c:v>
                </c:pt>
                <c:pt idx="5">
                  <c:v>0.36216163803552093</c:v>
                </c:pt>
                <c:pt idx="6">
                  <c:v>0.36898328805466368</c:v>
                </c:pt>
                <c:pt idx="7">
                  <c:v>0.37744812320381121</c:v>
                </c:pt>
                <c:pt idx="8">
                  <c:v>0.37933907530152111</c:v>
                </c:pt>
                <c:pt idx="9">
                  <c:v>0.37933907530152111</c:v>
                </c:pt>
                <c:pt idx="10">
                  <c:v>0.39379462563035139</c:v>
                </c:pt>
                <c:pt idx="11">
                  <c:v>0.39810211698575071</c:v>
                </c:pt>
                <c:pt idx="12">
                  <c:v>0.39810211698575071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CF-4E93-BA00-06C18616B471}"/>
            </c:ext>
          </c:extLst>
        </c:ser>
        <c:ser>
          <c:idx val="3"/>
          <c:order val="3"/>
          <c:tx>
            <c:strRef>
              <c:f>Sheet1!$A$6</c:f>
              <c:strCache>
                <c:ptCount val="1"/>
                <c:pt idx="0">
                  <c:v>LiTs1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Sheet1!$B$2:$N$2</c:f>
              <c:numCache>
                <c:formatCode>General</c:formatCode>
                <c:ptCount val="13"/>
                <c:pt idx="0">
                  <c:v>0</c:v>
                </c:pt>
                <c:pt idx="1">
                  <c:v>0.01</c:v>
                </c:pt>
                <c:pt idx="2">
                  <c:v>0.1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</c:numCache>
            </c:numRef>
          </c:xVal>
          <c:yVal>
            <c:numRef>
              <c:f>Sheet1!$B$6:$N$6</c:f>
              <c:numCache>
                <c:formatCode>General</c:formatCode>
                <c:ptCount val="13"/>
                <c:pt idx="0">
                  <c:v>0.1232970871997647</c:v>
                </c:pt>
                <c:pt idx="1">
                  <c:v>9.6423240793508641E-2</c:v>
                </c:pt>
                <c:pt idx="2">
                  <c:v>0.110090034439997</c:v>
                </c:pt>
                <c:pt idx="3">
                  <c:v>0.1168957242788502</c:v>
                </c:pt>
                <c:pt idx="4">
                  <c:v>0.1116286284773322</c:v>
                </c:pt>
                <c:pt idx="5">
                  <c:v>9.5651050796169534E-2</c:v>
                </c:pt>
                <c:pt idx="6">
                  <c:v>6.4261818347050165E-2</c:v>
                </c:pt>
                <c:pt idx="7">
                  <c:v>7.2426518834799822E-2</c:v>
                </c:pt>
                <c:pt idx="8">
                  <c:v>1.36965938278903E-2</c:v>
                </c:pt>
                <c:pt idx="9">
                  <c:v>1.444728894212685E-2</c:v>
                </c:pt>
                <c:pt idx="10">
                  <c:v>1.444728894212685E-2</c:v>
                </c:pt>
                <c:pt idx="11">
                  <c:v>1.444728894212685E-2</c:v>
                </c:pt>
                <c:pt idx="12">
                  <c:v>1.444728894212685E-2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CF-4E93-BA00-06C18616B471}"/>
            </c:ext>
          </c:extLst>
        </c:ser>
        <c:ser>
          <c:idx val="4"/>
          <c:order val="4"/>
          <c:tx>
            <c:strRef>
              <c:f>Sheet1!$A$7</c:f>
              <c:strCache>
                <c:ptCount val="1"/>
                <c:pt idx="0">
                  <c:v>LiTs21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Sheet1!$B$2:$N$2</c:f>
              <c:numCache>
                <c:formatCode>General</c:formatCode>
                <c:ptCount val="13"/>
                <c:pt idx="0">
                  <c:v>0</c:v>
                </c:pt>
                <c:pt idx="1">
                  <c:v>0.01</c:v>
                </c:pt>
                <c:pt idx="2">
                  <c:v>0.1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</c:numCache>
            </c:numRef>
          </c:xVal>
          <c:yVal>
            <c:numRef>
              <c:f>Sheet1!$B$7:$N$7</c:f>
              <c:numCache>
                <c:formatCode>General</c:formatCode>
                <c:ptCount val="13"/>
                <c:pt idx="0">
                  <c:v>0.27774581067909859</c:v>
                </c:pt>
                <c:pt idx="1">
                  <c:v>0.23247615299807139</c:v>
                </c:pt>
                <c:pt idx="2">
                  <c:v>0.28477920750981828</c:v>
                </c:pt>
                <c:pt idx="3">
                  <c:v>0.31188018162513831</c:v>
                </c:pt>
                <c:pt idx="4">
                  <c:v>0.33866571053885342</c:v>
                </c:pt>
                <c:pt idx="5">
                  <c:v>0.34077654547970659</c:v>
                </c:pt>
                <c:pt idx="6">
                  <c:v>0.34077654547970659</c:v>
                </c:pt>
                <c:pt idx="7">
                  <c:v>0.39227399442453198</c:v>
                </c:pt>
                <c:pt idx="8">
                  <c:v>0.39227399442453198</c:v>
                </c:pt>
                <c:pt idx="9">
                  <c:v>0.39227399442453198</c:v>
                </c:pt>
                <c:pt idx="10">
                  <c:v>0.39227399442453198</c:v>
                </c:pt>
                <c:pt idx="11">
                  <c:v>0.39227399442453198</c:v>
                </c:pt>
                <c:pt idx="12">
                  <c:v>0.33475583519669322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3CF-4E93-BA00-06C18616B471}"/>
            </c:ext>
          </c:extLst>
        </c:ser>
        <c:ser>
          <c:idx val="5"/>
          <c:order val="5"/>
          <c:tx>
            <c:strRef>
              <c:f>Sheet1!$A$8</c:f>
              <c:strCache>
                <c:ptCount val="1"/>
                <c:pt idx="0">
                  <c:v>LiTs22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Sheet1!$B$2:$N$2</c:f>
              <c:numCache>
                <c:formatCode>General</c:formatCode>
                <c:ptCount val="13"/>
                <c:pt idx="0">
                  <c:v>0</c:v>
                </c:pt>
                <c:pt idx="1">
                  <c:v>0.01</c:v>
                </c:pt>
                <c:pt idx="2">
                  <c:v>0.1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</c:numCache>
            </c:numRef>
          </c:xVal>
          <c:yVal>
            <c:numRef>
              <c:f>Sheet1!$B$8:$N$8</c:f>
              <c:numCache>
                <c:formatCode>General</c:formatCode>
                <c:ptCount val="13"/>
                <c:pt idx="0">
                  <c:v>0.21602902259065179</c:v>
                </c:pt>
                <c:pt idx="1">
                  <c:v>0.19297380316160129</c:v>
                </c:pt>
                <c:pt idx="2">
                  <c:v>0.20673644632218399</c:v>
                </c:pt>
                <c:pt idx="3">
                  <c:v>0.22740645161290321</c:v>
                </c:pt>
                <c:pt idx="4">
                  <c:v>0.23325927916403311</c:v>
                </c:pt>
                <c:pt idx="5">
                  <c:v>0.23325927916403311</c:v>
                </c:pt>
                <c:pt idx="6">
                  <c:v>0.23325927916403311</c:v>
                </c:pt>
                <c:pt idx="7">
                  <c:v>0.23325927916403311</c:v>
                </c:pt>
                <c:pt idx="8">
                  <c:v>0.23325927916403311</c:v>
                </c:pt>
                <c:pt idx="9">
                  <c:v>0.23325927916403311</c:v>
                </c:pt>
                <c:pt idx="10">
                  <c:v>0.23325927916403311</c:v>
                </c:pt>
                <c:pt idx="11">
                  <c:v>0.23325927916403311</c:v>
                </c:pt>
                <c:pt idx="12">
                  <c:v>0.23325927916403311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3CF-4E93-BA00-06C18616B471}"/>
            </c:ext>
          </c:extLst>
        </c:ser>
        <c:ser>
          <c:idx val="6"/>
          <c:order val="6"/>
          <c:tx>
            <c:strRef>
              <c:f>Sheet1!$A$9</c:f>
              <c:strCache>
                <c:ptCount val="1"/>
                <c:pt idx="0">
                  <c:v>LiTs26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Sheet1!$B$2:$N$2</c:f>
              <c:numCache>
                <c:formatCode>General</c:formatCode>
                <c:ptCount val="13"/>
                <c:pt idx="0">
                  <c:v>0</c:v>
                </c:pt>
                <c:pt idx="1">
                  <c:v>0.01</c:v>
                </c:pt>
                <c:pt idx="2">
                  <c:v>0.1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</c:numCache>
            </c:numRef>
          </c:xVal>
          <c:yVal>
            <c:numRef>
              <c:f>Sheet1!$B$9:$N$9</c:f>
              <c:numCache>
                <c:formatCode>General</c:formatCode>
                <c:ptCount val="13"/>
                <c:pt idx="0">
                  <c:v>0.1062508945779423</c:v>
                </c:pt>
                <c:pt idx="1">
                  <c:v>0.1007195137079767</c:v>
                </c:pt>
                <c:pt idx="2">
                  <c:v>0.1069981525713783</c:v>
                </c:pt>
                <c:pt idx="3">
                  <c:v>0.1090769362138161</c:v>
                </c:pt>
                <c:pt idx="4">
                  <c:v>0.1108992342829479</c:v>
                </c:pt>
                <c:pt idx="5">
                  <c:v>0.1108992342829479</c:v>
                </c:pt>
                <c:pt idx="6">
                  <c:v>9.0451175194888933E-2</c:v>
                </c:pt>
                <c:pt idx="7">
                  <c:v>9.0451175194888933E-2</c:v>
                </c:pt>
                <c:pt idx="8">
                  <c:v>9.0451175194888933E-2</c:v>
                </c:pt>
                <c:pt idx="9">
                  <c:v>9.0451175194888933E-2</c:v>
                </c:pt>
                <c:pt idx="10">
                  <c:v>9.0451175194888933E-2</c:v>
                </c:pt>
                <c:pt idx="11">
                  <c:v>9.0451175194888933E-2</c:v>
                </c:pt>
                <c:pt idx="12">
                  <c:v>9.0451175194888933E-2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3CF-4E93-BA00-06C18616B471}"/>
            </c:ext>
          </c:extLst>
        </c:ser>
        <c:ser>
          <c:idx val="7"/>
          <c:order val="7"/>
          <c:tx>
            <c:strRef>
              <c:f>Sheet1!$A$10</c:f>
              <c:strCache>
                <c:ptCount val="1"/>
                <c:pt idx="0">
                  <c:v>LiTs30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Sheet1!$B$2:$N$2</c:f>
              <c:numCache>
                <c:formatCode>General</c:formatCode>
                <c:ptCount val="13"/>
                <c:pt idx="0">
                  <c:v>0</c:v>
                </c:pt>
                <c:pt idx="1">
                  <c:v>0.01</c:v>
                </c:pt>
                <c:pt idx="2">
                  <c:v>0.1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</c:numCache>
            </c:numRef>
          </c:xVal>
          <c:yVal>
            <c:numRef>
              <c:f>Sheet1!$B$10:$N$10</c:f>
              <c:numCache>
                <c:formatCode>General</c:formatCode>
                <c:ptCount val="13"/>
                <c:pt idx="0">
                  <c:v>0.1107486908564605</c:v>
                </c:pt>
                <c:pt idx="1">
                  <c:v>8.633415057717847E-2</c:v>
                </c:pt>
                <c:pt idx="2">
                  <c:v>0.1030809583164463</c:v>
                </c:pt>
                <c:pt idx="3">
                  <c:v>0.1388067291426674</c:v>
                </c:pt>
                <c:pt idx="4">
                  <c:v>0.16287089457281431</c:v>
                </c:pt>
                <c:pt idx="5">
                  <c:v>0.1761805616781168</c:v>
                </c:pt>
                <c:pt idx="6">
                  <c:v>0.19302873362510309</c:v>
                </c:pt>
                <c:pt idx="7">
                  <c:v>0.19302873362510309</c:v>
                </c:pt>
                <c:pt idx="8">
                  <c:v>0.19302873362510309</c:v>
                </c:pt>
                <c:pt idx="9">
                  <c:v>0.19302873362510309</c:v>
                </c:pt>
                <c:pt idx="10">
                  <c:v>0.19302873362510309</c:v>
                </c:pt>
                <c:pt idx="11">
                  <c:v>0.19302873362510309</c:v>
                </c:pt>
                <c:pt idx="12">
                  <c:v>0.19302873362510309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3CF-4E93-BA00-06C18616B471}"/>
            </c:ext>
          </c:extLst>
        </c:ser>
        <c:ser>
          <c:idx val="8"/>
          <c:order val="8"/>
          <c:tx>
            <c:strRef>
              <c:f>Sheet1!$A$11</c:f>
              <c:strCache>
                <c:ptCount val="1"/>
                <c:pt idx="0">
                  <c:v>LiTs37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Sheet1!$B$2:$N$2</c:f>
              <c:numCache>
                <c:formatCode>General</c:formatCode>
                <c:ptCount val="13"/>
                <c:pt idx="0">
                  <c:v>0</c:v>
                </c:pt>
                <c:pt idx="1">
                  <c:v>0.01</c:v>
                </c:pt>
                <c:pt idx="2">
                  <c:v>0.1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</c:numCache>
            </c:numRef>
          </c:xVal>
          <c:yVal>
            <c:numRef>
              <c:f>Sheet1!$B$11:$N$11</c:f>
              <c:numCache>
                <c:formatCode>General</c:formatCode>
                <c:ptCount val="13"/>
                <c:pt idx="0">
                  <c:v>0.1234198708526362</c:v>
                </c:pt>
                <c:pt idx="1">
                  <c:v>0.10044444444444441</c:v>
                </c:pt>
                <c:pt idx="2">
                  <c:v>0.12084712368122209</c:v>
                </c:pt>
                <c:pt idx="3">
                  <c:v>0.1195270965263406</c:v>
                </c:pt>
                <c:pt idx="4">
                  <c:v>0.1311080216687098</c:v>
                </c:pt>
                <c:pt idx="5">
                  <c:v>0.1311992755363158</c:v>
                </c:pt>
                <c:pt idx="6">
                  <c:v>7.4556090643188466E-2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3CF-4E93-BA00-06C18616B471}"/>
            </c:ext>
          </c:extLst>
        </c:ser>
        <c:ser>
          <c:idx val="9"/>
          <c:order val="9"/>
          <c:tx>
            <c:strRef>
              <c:f>Sheet1!$A$12</c:f>
              <c:strCache>
                <c:ptCount val="1"/>
                <c:pt idx="0">
                  <c:v>LiTs45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Sheet1!$B$2:$N$2</c:f>
              <c:numCache>
                <c:formatCode>General</c:formatCode>
                <c:ptCount val="13"/>
                <c:pt idx="0">
                  <c:v>0</c:v>
                </c:pt>
                <c:pt idx="1">
                  <c:v>0.01</c:v>
                </c:pt>
                <c:pt idx="2">
                  <c:v>0.1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</c:numCache>
            </c:numRef>
          </c:xVal>
          <c:yVal>
            <c:numRef>
              <c:f>Sheet1!$B$12:$N$12</c:f>
              <c:numCache>
                <c:formatCode>General</c:formatCode>
                <c:ptCount val="13"/>
                <c:pt idx="0">
                  <c:v>4.4892258579409417E-3</c:v>
                </c:pt>
                <c:pt idx="1">
                  <c:v>4.6076354597123408E-3</c:v>
                </c:pt>
                <c:pt idx="2">
                  <c:v>3.5160178727473581E-3</c:v>
                </c:pt>
                <c:pt idx="3">
                  <c:v>3.7492610263657011E-3</c:v>
                </c:pt>
                <c:pt idx="4">
                  <c:v>3.8022389972430419E-3</c:v>
                </c:pt>
                <c:pt idx="5">
                  <c:v>3.8022389972430419E-3</c:v>
                </c:pt>
                <c:pt idx="6">
                  <c:v>3.8022389972430419E-3</c:v>
                </c:pt>
                <c:pt idx="7">
                  <c:v>3.8022389972430419E-3</c:v>
                </c:pt>
                <c:pt idx="8">
                  <c:v>3.8022389972430419E-3</c:v>
                </c:pt>
                <c:pt idx="9">
                  <c:v>3.8022389972430419E-3</c:v>
                </c:pt>
                <c:pt idx="10">
                  <c:v>3.8022389972430419E-3</c:v>
                </c:pt>
                <c:pt idx="11">
                  <c:v>3.8022389972430419E-3</c:v>
                </c:pt>
                <c:pt idx="12">
                  <c:v>3.8022389972430419E-3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3CF-4E93-BA00-06C18616B471}"/>
            </c:ext>
          </c:extLst>
        </c:ser>
        <c:ser>
          <c:idx val="10"/>
          <c:order val="10"/>
          <c:tx>
            <c:strRef>
              <c:f>Sheet1!$A$13</c:f>
              <c:strCache>
                <c:ptCount val="1"/>
                <c:pt idx="0">
                  <c:v>LiTs54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Sheet1!$B$2:$N$2</c:f>
              <c:numCache>
                <c:formatCode>General</c:formatCode>
                <c:ptCount val="13"/>
                <c:pt idx="0">
                  <c:v>0</c:v>
                </c:pt>
                <c:pt idx="1">
                  <c:v>0.01</c:v>
                </c:pt>
                <c:pt idx="2">
                  <c:v>0.1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</c:numCache>
            </c:numRef>
          </c:xVal>
          <c:yVal>
            <c:numRef>
              <c:f>Sheet1!$B$13:$N$13</c:f>
              <c:numCache>
                <c:formatCode>General</c:formatCode>
                <c:ptCount val="13"/>
                <c:pt idx="0">
                  <c:v>3.688826492072209E-3</c:v>
                </c:pt>
                <c:pt idx="1">
                  <c:v>4.4227974844075436E-3</c:v>
                </c:pt>
                <c:pt idx="2">
                  <c:v>4.6984906527472448E-4</c:v>
                </c:pt>
                <c:pt idx="3">
                  <c:v>4.2673757075534598E-4</c:v>
                </c:pt>
                <c:pt idx="4">
                  <c:v>2.8688736613882531E-4</c:v>
                </c:pt>
                <c:pt idx="5">
                  <c:v>2.6533962170894319E-4</c:v>
                </c:pt>
                <c:pt idx="6">
                  <c:v>2.165538307232898E-4</c:v>
                </c:pt>
                <c:pt idx="7">
                  <c:v>2.165538307232898E-4</c:v>
                </c:pt>
                <c:pt idx="8">
                  <c:v>2.165538307232898E-4</c:v>
                </c:pt>
                <c:pt idx="9">
                  <c:v>2.165538307232898E-4</c:v>
                </c:pt>
                <c:pt idx="10">
                  <c:v>2.165538307232898E-4</c:v>
                </c:pt>
                <c:pt idx="11">
                  <c:v>2.165538307232898E-4</c:v>
                </c:pt>
                <c:pt idx="12">
                  <c:v>2.165538307232898E-4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3CF-4E93-BA00-06C18616B471}"/>
            </c:ext>
          </c:extLst>
        </c:ser>
        <c:ser>
          <c:idx val="11"/>
          <c:order val="11"/>
          <c:tx>
            <c:strRef>
              <c:f>Sheet1!$A$14</c:f>
              <c:strCache>
                <c:ptCount val="1"/>
                <c:pt idx="0">
                  <c:v>LiTs74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Sheet1!$B$2:$N$2</c:f>
              <c:numCache>
                <c:formatCode>General</c:formatCode>
                <c:ptCount val="13"/>
                <c:pt idx="0">
                  <c:v>0</c:v>
                </c:pt>
                <c:pt idx="1">
                  <c:v>0.01</c:v>
                </c:pt>
                <c:pt idx="2">
                  <c:v>0.1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</c:numCache>
            </c:numRef>
          </c:xVal>
          <c:yVal>
            <c:numRef>
              <c:f>Sheet1!$B$14:$N$14</c:f>
              <c:numCache>
                <c:formatCode>General</c:formatCode>
                <c:ptCount val="13"/>
                <c:pt idx="0">
                  <c:v>0.46930524972075949</c:v>
                </c:pt>
                <c:pt idx="1">
                  <c:v>0.40109973071587868</c:v>
                </c:pt>
                <c:pt idx="2">
                  <c:v>0.44377957908970378</c:v>
                </c:pt>
                <c:pt idx="3">
                  <c:v>0.51764533853741934</c:v>
                </c:pt>
                <c:pt idx="4">
                  <c:v>0.53083806309761206</c:v>
                </c:pt>
                <c:pt idx="5">
                  <c:v>0.53334077028195326</c:v>
                </c:pt>
                <c:pt idx="6">
                  <c:v>0.53334077028195326</c:v>
                </c:pt>
                <c:pt idx="7">
                  <c:v>0.53334077028195326</c:v>
                </c:pt>
                <c:pt idx="8">
                  <c:v>0.53334077028195326</c:v>
                </c:pt>
                <c:pt idx="9">
                  <c:v>0.55249153068113399</c:v>
                </c:pt>
                <c:pt idx="10">
                  <c:v>0.57865040601206807</c:v>
                </c:pt>
                <c:pt idx="11">
                  <c:v>0.57865040601206807</c:v>
                </c:pt>
                <c:pt idx="12">
                  <c:v>0.57865040601206807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3CF-4E93-BA00-06C18616B471}"/>
            </c:ext>
          </c:extLst>
        </c:ser>
        <c:ser>
          <c:idx val="12"/>
          <c:order val="12"/>
          <c:tx>
            <c:strRef>
              <c:f>Sheet1!$A$15</c:f>
              <c:strCache>
                <c:ptCount val="1"/>
                <c:pt idx="0">
                  <c:v>LiTs95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Sheet1!$B$2:$N$2</c:f>
              <c:numCache>
                <c:formatCode>General</c:formatCode>
                <c:ptCount val="13"/>
                <c:pt idx="0">
                  <c:v>0</c:v>
                </c:pt>
                <c:pt idx="1">
                  <c:v>0.01</c:v>
                </c:pt>
                <c:pt idx="2">
                  <c:v>0.1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</c:numCache>
            </c:numRef>
          </c:xVal>
          <c:yVal>
            <c:numRef>
              <c:f>Sheet1!$B$15:$N$15</c:f>
              <c:numCache>
                <c:formatCode>General</c:formatCode>
                <c:ptCount val="13"/>
                <c:pt idx="0">
                  <c:v>3.7838036150396278E-3</c:v>
                </c:pt>
                <c:pt idx="1">
                  <c:v>3.4010608641055489E-3</c:v>
                </c:pt>
                <c:pt idx="2">
                  <c:v>3.9989508302564411E-3</c:v>
                </c:pt>
                <c:pt idx="3">
                  <c:v>4.3250079877767671E-3</c:v>
                </c:pt>
                <c:pt idx="4">
                  <c:v>4.4961278174939613E-3</c:v>
                </c:pt>
                <c:pt idx="5">
                  <c:v>4.5066048689051258E-3</c:v>
                </c:pt>
                <c:pt idx="6">
                  <c:v>4.5066048689051258E-3</c:v>
                </c:pt>
                <c:pt idx="7">
                  <c:v>4.5066048689051258E-3</c:v>
                </c:pt>
                <c:pt idx="8">
                  <c:v>4.5066048689051258E-3</c:v>
                </c:pt>
                <c:pt idx="9">
                  <c:v>4.7022362989289209E-3</c:v>
                </c:pt>
                <c:pt idx="10">
                  <c:v>4.7111467486872522E-3</c:v>
                </c:pt>
                <c:pt idx="11">
                  <c:v>4.7111467486872522E-3</c:v>
                </c:pt>
                <c:pt idx="12">
                  <c:v>4.7111467486872522E-3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3CF-4E93-BA00-06C18616B471}"/>
            </c:ext>
          </c:extLst>
        </c:ser>
        <c:ser>
          <c:idx val="13"/>
          <c:order val="13"/>
          <c:tx>
            <c:strRef>
              <c:f>Sheet1!$A$16</c:f>
              <c:strCache>
                <c:ptCount val="1"/>
                <c:pt idx="0">
                  <c:v>LiTs98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Sheet1!$B$2:$N$2</c:f>
              <c:numCache>
                <c:formatCode>General</c:formatCode>
                <c:ptCount val="13"/>
                <c:pt idx="0">
                  <c:v>0</c:v>
                </c:pt>
                <c:pt idx="1">
                  <c:v>0.01</c:v>
                </c:pt>
                <c:pt idx="2">
                  <c:v>0.1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</c:numCache>
            </c:numRef>
          </c:xVal>
          <c:yVal>
            <c:numRef>
              <c:f>Sheet1!$B$16:$N$16</c:f>
              <c:numCache>
                <c:formatCode>General</c:formatCode>
                <c:ptCount val="13"/>
                <c:pt idx="0">
                  <c:v>0.71909117334901673</c:v>
                </c:pt>
                <c:pt idx="1">
                  <c:v>0.66610624657075346</c:v>
                </c:pt>
                <c:pt idx="2">
                  <c:v>0.6915863832362017</c:v>
                </c:pt>
                <c:pt idx="3">
                  <c:v>0.72553303647576639</c:v>
                </c:pt>
                <c:pt idx="4">
                  <c:v>0.7366348560864282</c:v>
                </c:pt>
                <c:pt idx="5">
                  <c:v>0.7366348560864282</c:v>
                </c:pt>
                <c:pt idx="6">
                  <c:v>0.7366348560864282</c:v>
                </c:pt>
                <c:pt idx="7">
                  <c:v>0.7366348560864282</c:v>
                </c:pt>
                <c:pt idx="8">
                  <c:v>0.7366348560864282</c:v>
                </c:pt>
                <c:pt idx="9">
                  <c:v>0.7366348560864282</c:v>
                </c:pt>
                <c:pt idx="10">
                  <c:v>0.7366348560864282</c:v>
                </c:pt>
                <c:pt idx="11">
                  <c:v>0.7366348560864282</c:v>
                </c:pt>
                <c:pt idx="12">
                  <c:v>0.73231017654914632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3CF-4E93-BA00-06C18616B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9438736"/>
        <c:axId val="1799440400"/>
      </c:scatterChart>
      <c:valAx>
        <c:axId val="179943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440400"/>
        <c:crossesAt val="1.0000000000000003E-4"/>
        <c:crossBetween val="midCat"/>
      </c:valAx>
      <c:valAx>
        <c:axId val="179944040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438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Sheet1!$A$17</c:f>
              <c:strCache>
                <c:ptCount val="1"/>
                <c:pt idx="0">
                  <c:v>median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Sheet1!$B$2:$N$2</c:f>
              <c:numCache>
                <c:formatCode>General</c:formatCode>
                <c:ptCount val="13"/>
                <c:pt idx="0">
                  <c:v>0</c:v>
                </c:pt>
                <c:pt idx="1">
                  <c:v>0.01</c:v>
                </c:pt>
                <c:pt idx="2">
                  <c:v>0.1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</c:numCache>
            </c:numRef>
          </c:xVal>
          <c:yVal>
            <c:numRef>
              <c:f>Sheet1!$B$17:$N$17</c:f>
              <c:numCache>
                <c:formatCode>General</c:formatCode>
                <c:ptCount val="13"/>
                <c:pt idx="0">
                  <c:v>0.169724446721644</c:v>
                </c:pt>
                <c:pt idx="1">
                  <c:v>0.146846658434789</c:v>
                </c:pt>
                <c:pt idx="2">
                  <c:v>0.16379178500170305</c:v>
                </c:pt>
                <c:pt idx="3">
                  <c:v>0.18310659037778532</c:v>
                </c:pt>
                <c:pt idx="4">
                  <c:v>0.19806508686842372</c:v>
                </c:pt>
                <c:pt idx="5">
                  <c:v>0.20471992042107495</c:v>
                </c:pt>
                <c:pt idx="6">
                  <c:v>0.2131440063945681</c:v>
                </c:pt>
                <c:pt idx="7">
                  <c:v>0.2131440063945681</c:v>
                </c:pt>
                <c:pt idx="8">
                  <c:v>0.2131440063945681</c:v>
                </c:pt>
                <c:pt idx="9">
                  <c:v>0.2131440063945681</c:v>
                </c:pt>
                <c:pt idx="10">
                  <c:v>0.2131440063945681</c:v>
                </c:pt>
                <c:pt idx="11">
                  <c:v>0.2131440063945681</c:v>
                </c:pt>
                <c:pt idx="12">
                  <c:v>0.2131440063945681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1D-4791-B8A5-8FE23E432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446128"/>
        <c:axId val="1804440304"/>
      </c:scatterChart>
      <c:valAx>
        <c:axId val="180444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440304"/>
        <c:crosses val="autoZero"/>
        <c:crossBetween val="midCat"/>
      </c:valAx>
      <c:valAx>
        <c:axId val="180444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446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0</xdr:rowOff>
    </xdr:from>
    <xdr:to>
      <xdr:col>21</xdr:col>
      <xdr:colOff>438150</xdr:colOff>
      <xdr:row>62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100012</xdr:colOff>
      <xdr:row>5</xdr:row>
      <xdr:rowOff>142875</xdr:rowOff>
    </xdr:from>
    <xdr:to>
      <xdr:col>22</xdr:col>
      <xdr:colOff>404812</xdr:colOff>
      <xdr:row>20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O23" sqref="O23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28</v>
      </c>
      <c r="B2">
        <v>0</v>
      </c>
      <c r="C2">
        <v>0.01</v>
      </c>
      <c r="D2">
        <v>0.1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</row>
    <row r="3" spans="1:14" x14ac:dyDescent="0.25">
      <c r="A3" t="s">
        <v>14</v>
      </c>
      <c r="B3">
        <v>0.55608526314839857</v>
      </c>
      <c r="C3">
        <v>0.50807624211409441</v>
      </c>
      <c r="D3">
        <v>0.54320640472445103</v>
      </c>
      <c r="E3">
        <v>0.60086070592783936</v>
      </c>
      <c r="F3">
        <v>0.60313648275272735</v>
      </c>
      <c r="G3">
        <v>0.60313648275272735</v>
      </c>
      <c r="H3">
        <v>0.60260586905175217</v>
      </c>
      <c r="I3">
        <v>0.61326942897994086</v>
      </c>
      <c r="J3">
        <v>0.61326942897994086</v>
      </c>
      <c r="K3">
        <v>0.61326942897994086</v>
      </c>
      <c r="L3">
        <v>0.61326942897994086</v>
      </c>
      <c r="M3">
        <v>0.61836182941457385</v>
      </c>
      <c r="N3">
        <v>0.61836182941457385</v>
      </c>
    </row>
    <row r="4" spans="1:14" x14ac:dyDescent="0.25">
      <c r="A4" t="s">
        <v>15</v>
      </c>
      <c r="B4">
        <v>0.29432678008087759</v>
      </c>
      <c r="C4">
        <v>0.2607720150733836</v>
      </c>
      <c r="D4">
        <v>0.29105164507815368</v>
      </c>
      <c r="E4">
        <v>0.3077819208921716</v>
      </c>
      <c r="F4">
        <v>0.32305725779164629</v>
      </c>
      <c r="G4">
        <v>0.33824091051125332</v>
      </c>
      <c r="H4">
        <v>0.33824091051125332</v>
      </c>
      <c r="I4">
        <v>0.34611549646863321</v>
      </c>
      <c r="J4">
        <v>0.34611549646863321</v>
      </c>
      <c r="K4">
        <v>0.34611549646863321</v>
      </c>
      <c r="L4">
        <v>0.34611549646863321</v>
      </c>
      <c r="M4">
        <v>0.34611549646863321</v>
      </c>
      <c r="N4">
        <v>0.34611549646863321</v>
      </c>
    </row>
    <row r="5" spans="1:14" x14ac:dyDescent="0.25">
      <c r="A5" t="s">
        <v>16</v>
      </c>
      <c r="B5">
        <v>0.33085520270674851</v>
      </c>
      <c r="C5">
        <v>0.28130440190950901</v>
      </c>
      <c r="D5">
        <v>0.30376296704491501</v>
      </c>
      <c r="E5">
        <v>0.33637178059906808</v>
      </c>
      <c r="F5">
        <v>0.35429302048818567</v>
      </c>
      <c r="G5">
        <v>0.36216163803552093</v>
      </c>
      <c r="H5">
        <v>0.36898328805466368</v>
      </c>
      <c r="I5">
        <v>0.37744812320381121</v>
      </c>
      <c r="J5">
        <v>0.37933907530152111</v>
      </c>
      <c r="K5">
        <v>0.37933907530152111</v>
      </c>
      <c r="L5">
        <v>0.39379462563035139</v>
      </c>
      <c r="M5">
        <v>0.39810211698575071</v>
      </c>
      <c r="N5">
        <v>0.39810211698575071</v>
      </c>
    </row>
    <row r="6" spans="1:14" x14ac:dyDescent="0.25">
      <c r="A6" t="s">
        <v>17</v>
      </c>
      <c r="B6">
        <v>0.1232970871997647</v>
      </c>
      <c r="C6">
        <v>9.6423240793508641E-2</v>
      </c>
      <c r="D6">
        <v>0.110090034439997</v>
      </c>
      <c r="E6">
        <v>0.1168957242788502</v>
      </c>
      <c r="F6">
        <v>0.1116286284773322</v>
      </c>
      <c r="G6">
        <v>9.5651050796169534E-2</v>
      </c>
      <c r="H6">
        <v>6.4261818347050165E-2</v>
      </c>
      <c r="I6">
        <v>7.2426518834799822E-2</v>
      </c>
      <c r="J6">
        <v>1.36965938278903E-2</v>
      </c>
      <c r="K6">
        <v>1.444728894212685E-2</v>
      </c>
      <c r="L6">
        <v>1.444728894212685E-2</v>
      </c>
      <c r="M6">
        <v>1.444728894212685E-2</v>
      </c>
      <c r="N6">
        <v>1.444728894212685E-2</v>
      </c>
    </row>
    <row r="7" spans="1:14" x14ac:dyDescent="0.25">
      <c r="A7" t="s">
        <v>18</v>
      </c>
      <c r="B7">
        <v>0.27774581067909859</v>
      </c>
      <c r="C7">
        <v>0.23247615299807139</v>
      </c>
      <c r="D7">
        <v>0.28477920750981828</v>
      </c>
      <c r="E7">
        <v>0.31188018162513831</v>
      </c>
      <c r="F7">
        <v>0.33866571053885342</v>
      </c>
      <c r="G7">
        <v>0.34077654547970659</v>
      </c>
      <c r="H7">
        <v>0.34077654547970659</v>
      </c>
      <c r="I7">
        <v>0.39227399442453198</v>
      </c>
      <c r="J7">
        <v>0.39227399442453198</v>
      </c>
      <c r="K7">
        <v>0.39227399442453198</v>
      </c>
      <c r="L7">
        <v>0.39227399442453198</v>
      </c>
      <c r="M7">
        <v>0.39227399442453198</v>
      </c>
      <c r="N7">
        <v>0.33475583519669322</v>
      </c>
    </row>
    <row r="8" spans="1:14" x14ac:dyDescent="0.25">
      <c r="A8" t="s">
        <v>19</v>
      </c>
      <c r="B8">
        <v>0.21602902259065179</v>
      </c>
      <c r="C8">
        <v>0.19297380316160129</v>
      </c>
      <c r="D8">
        <v>0.20673644632218399</v>
      </c>
      <c r="E8">
        <v>0.22740645161290321</v>
      </c>
      <c r="F8">
        <v>0.23325927916403311</v>
      </c>
      <c r="G8">
        <v>0.23325927916403311</v>
      </c>
      <c r="H8">
        <v>0.23325927916403311</v>
      </c>
      <c r="I8">
        <v>0.23325927916403311</v>
      </c>
      <c r="J8">
        <v>0.23325927916403311</v>
      </c>
      <c r="K8">
        <v>0.23325927916403311</v>
      </c>
      <c r="L8">
        <v>0.23325927916403311</v>
      </c>
      <c r="M8">
        <v>0.23325927916403311</v>
      </c>
      <c r="N8">
        <v>0.23325927916403311</v>
      </c>
    </row>
    <row r="9" spans="1:14" x14ac:dyDescent="0.25">
      <c r="A9" t="s">
        <v>20</v>
      </c>
      <c r="B9">
        <v>0.1062508945779423</v>
      </c>
      <c r="C9">
        <v>0.1007195137079767</v>
      </c>
      <c r="D9">
        <v>0.1069981525713783</v>
      </c>
      <c r="E9">
        <v>0.1090769362138161</v>
      </c>
      <c r="F9">
        <v>0.1108992342829479</v>
      </c>
      <c r="G9">
        <v>0.1108992342829479</v>
      </c>
      <c r="H9">
        <v>9.0451175194888933E-2</v>
      </c>
      <c r="I9">
        <v>9.0451175194888933E-2</v>
      </c>
      <c r="J9">
        <v>9.0451175194888933E-2</v>
      </c>
      <c r="K9">
        <v>9.0451175194888933E-2</v>
      </c>
      <c r="L9">
        <v>9.0451175194888933E-2</v>
      </c>
      <c r="M9">
        <v>9.0451175194888933E-2</v>
      </c>
      <c r="N9">
        <v>9.0451175194888933E-2</v>
      </c>
    </row>
    <row r="10" spans="1:14" x14ac:dyDescent="0.25">
      <c r="A10" t="s">
        <v>21</v>
      </c>
      <c r="B10">
        <v>0.1107486908564605</v>
      </c>
      <c r="C10">
        <v>8.633415057717847E-2</v>
      </c>
      <c r="D10">
        <v>0.1030809583164463</v>
      </c>
      <c r="E10">
        <v>0.1388067291426674</v>
      </c>
      <c r="F10">
        <v>0.16287089457281431</v>
      </c>
      <c r="G10">
        <v>0.1761805616781168</v>
      </c>
      <c r="H10">
        <v>0.19302873362510309</v>
      </c>
      <c r="I10">
        <v>0.19302873362510309</v>
      </c>
      <c r="J10">
        <v>0.19302873362510309</v>
      </c>
      <c r="K10">
        <v>0.19302873362510309</v>
      </c>
      <c r="L10">
        <v>0.19302873362510309</v>
      </c>
      <c r="M10">
        <v>0.19302873362510309</v>
      </c>
      <c r="N10">
        <v>0.19302873362510309</v>
      </c>
    </row>
    <row r="11" spans="1:14" x14ac:dyDescent="0.25">
      <c r="A11" t="s">
        <v>22</v>
      </c>
      <c r="B11">
        <v>0.1234198708526362</v>
      </c>
      <c r="C11">
        <v>0.10044444444444441</v>
      </c>
      <c r="D11">
        <v>0.12084712368122209</v>
      </c>
      <c r="E11">
        <v>0.1195270965263406</v>
      </c>
      <c r="F11">
        <v>0.1311080216687098</v>
      </c>
      <c r="G11">
        <v>0.1311992755363158</v>
      </c>
      <c r="H11">
        <v>7.4556090643188466E-2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23</v>
      </c>
      <c r="B12">
        <v>4.4892258579409417E-3</v>
      </c>
      <c r="C12">
        <v>4.6076354597123408E-3</v>
      </c>
      <c r="D12">
        <v>3.5160178727473581E-3</v>
      </c>
      <c r="E12">
        <v>3.7492610263657011E-3</v>
      </c>
      <c r="F12">
        <v>3.8022389972430419E-3</v>
      </c>
      <c r="G12">
        <v>3.8022389972430419E-3</v>
      </c>
      <c r="H12">
        <v>3.8022389972430419E-3</v>
      </c>
      <c r="I12">
        <v>3.8022389972430419E-3</v>
      </c>
      <c r="J12">
        <v>3.8022389972430419E-3</v>
      </c>
      <c r="K12">
        <v>3.8022389972430419E-3</v>
      </c>
      <c r="L12">
        <v>3.8022389972430419E-3</v>
      </c>
      <c r="M12">
        <v>3.8022389972430419E-3</v>
      </c>
      <c r="N12">
        <v>3.8022389972430419E-3</v>
      </c>
    </row>
    <row r="13" spans="1:14" x14ac:dyDescent="0.25">
      <c r="A13" t="s">
        <v>24</v>
      </c>
      <c r="B13">
        <v>3.688826492072209E-3</v>
      </c>
      <c r="C13">
        <v>4.4227974844075436E-3</v>
      </c>
      <c r="D13">
        <v>4.6984906527472448E-4</v>
      </c>
      <c r="E13">
        <v>4.2673757075534598E-4</v>
      </c>
      <c r="F13">
        <v>2.8688736613882531E-4</v>
      </c>
      <c r="G13">
        <v>2.6533962170894319E-4</v>
      </c>
      <c r="H13">
        <v>2.165538307232898E-4</v>
      </c>
      <c r="I13">
        <v>2.165538307232898E-4</v>
      </c>
      <c r="J13">
        <v>2.165538307232898E-4</v>
      </c>
      <c r="K13">
        <v>2.165538307232898E-4</v>
      </c>
      <c r="L13">
        <v>2.165538307232898E-4</v>
      </c>
      <c r="M13">
        <v>2.165538307232898E-4</v>
      </c>
      <c r="N13">
        <v>2.165538307232898E-4</v>
      </c>
    </row>
    <row r="14" spans="1:14" x14ac:dyDescent="0.25">
      <c r="A14" t="s">
        <v>25</v>
      </c>
      <c r="B14">
        <v>0.46930524972075949</v>
      </c>
      <c r="C14">
        <v>0.40109973071587868</v>
      </c>
      <c r="D14">
        <v>0.44377957908970378</v>
      </c>
      <c r="E14">
        <v>0.51764533853741934</v>
      </c>
      <c r="F14">
        <v>0.53083806309761206</v>
      </c>
      <c r="G14">
        <v>0.53334077028195326</v>
      </c>
      <c r="H14">
        <v>0.53334077028195326</v>
      </c>
      <c r="I14">
        <v>0.53334077028195326</v>
      </c>
      <c r="J14">
        <v>0.53334077028195326</v>
      </c>
      <c r="K14">
        <v>0.55249153068113399</v>
      </c>
      <c r="L14">
        <v>0.57865040601206807</v>
      </c>
      <c r="M14">
        <v>0.57865040601206807</v>
      </c>
      <c r="N14">
        <v>0.57865040601206807</v>
      </c>
    </row>
    <row r="15" spans="1:14" x14ac:dyDescent="0.25">
      <c r="A15" t="s">
        <v>26</v>
      </c>
      <c r="B15">
        <v>3.7838036150396278E-3</v>
      </c>
      <c r="C15">
        <v>3.4010608641055489E-3</v>
      </c>
      <c r="D15">
        <v>3.9989508302564411E-3</v>
      </c>
      <c r="E15">
        <v>4.3250079877767671E-3</v>
      </c>
      <c r="F15">
        <v>4.4961278174939613E-3</v>
      </c>
      <c r="G15">
        <v>4.5066048689051258E-3</v>
      </c>
      <c r="H15">
        <v>4.5066048689051258E-3</v>
      </c>
      <c r="I15">
        <v>4.5066048689051258E-3</v>
      </c>
      <c r="J15">
        <v>4.5066048689051258E-3</v>
      </c>
      <c r="K15">
        <v>4.7022362989289209E-3</v>
      </c>
      <c r="L15">
        <v>4.7111467486872522E-3</v>
      </c>
      <c r="M15">
        <v>4.7111467486872522E-3</v>
      </c>
      <c r="N15">
        <v>4.7111467486872522E-3</v>
      </c>
    </row>
    <row r="16" spans="1:14" x14ac:dyDescent="0.25">
      <c r="A16" t="s">
        <v>27</v>
      </c>
      <c r="B16">
        <v>0.71909117334901673</v>
      </c>
      <c r="C16">
        <v>0.66610624657075346</v>
      </c>
      <c r="D16">
        <v>0.6915863832362017</v>
      </c>
      <c r="E16">
        <v>0.72553303647576639</v>
      </c>
      <c r="F16">
        <v>0.7366348560864282</v>
      </c>
      <c r="G16">
        <v>0.7366348560864282</v>
      </c>
      <c r="H16">
        <v>0.7366348560864282</v>
      </c>
      <c r="I16">
        <v>0.7366348560864282</v>
      </c>
      <c r="J16">
        <v>0.7366348560864282</v>
      </c>
      <c r="K16">
        <v>0.7366348560864282</v>
      </c>
      <c r="L16">
        <v>0.7366348560864282</v>
      </c>
      <c r="M16">
        <v>0.7366348560864282</v>
      </c>
      <c r="N16">
        <v>0.73231017654914632</v>
      </c>
    </row>
    <row r="17" spans="1:14" x14ac:dyDescent="0.25">
      <c r="A17" t="s">
        <v>29</v>
      </c>
      <c r="B17">
        <f>MEDIAN(B3:B16)</f>
        <v>0.169724446721644</v>
      </c>
      <c r="C17">
        <f t="shared" ref="C17:N17" si="0">MEDIAN(C3:C16)</f>
        <v>0.146846658434789</v>
      </c>
      <c r="D17">
        <f t="shared" si="0"/>
        <v>0.16379178500170305</v>
      </c>
      <c r="E17">
        <f t="shared" si="0"/>
        <v>0.18310659037778532</v>
      </c>
      <c r="F17">
        <f t="shared" si="0"/>
        <v>0.19806508686842372</v>
      </c>
      <c r="G17">
        <f t="shared" si="0"/>
        <v>0.20471992042107495</v>
      </c>
      <c r="H17">
        <f t="shared" si="0"/>
        <v>0.2131440063945681</v>
      </c>
      <c r="I17">
        <f t="shared" si="0"/>
        <v>0.2131440063945681</v>
      </c>
      <c r="J17">
        <f t="shared" si="0"/>
        <v>0.2131440063945681</v>
      </c>
      <c r="K17">
        <f t="shared" si="0"/>
        <v>0.2131440063945681</v>
      </c>
      <c r="L17">
        <f t="shared" si="0"/>
        <v>0.2131440063945681</v>
      </c>
      <c r="M17">
        <f t="shared" si="0"/>
        <v>0.2131440063945681</v>
      </c>
      <c r="N17">
        <f t="shared" si="0"/>
        <v>0.2131440063945681</v>
      </c>
    </row>
    <row r="19" spans="1:14" x14ac:dyDescent="0.25">
      <c r="C19">
        <f>C3-B3</f>
        <v>-4.8009021034304156E-2</v>
      </c>
      <c r="D19">
        <f t="shared" ref="D19:N19" si="1">D3-C3</f>
        <v>3.5130162610356619E-2</v>
      </c>
      <c r="E19">
        <f t="shared" si="1"/>
        <v>5.7654301203388325E-2</v>
      </c>
      <c r="F19">
        <f t="shared" si="1"/>
        <v>2.2757768248879984E-3</v>
      </c>
      <c r="G19">
        <f t="shared" si="1"/>
        <v>0</v>
      </c>
      <c r="H19">
        <f t="shared" si="1"/>
        <v>-5.306137009751799E-4</v>
      </c>
      <c r="I19">
        <f t="shared" si="1"/>
        <v>1.0663559928188682E-2</v>
      </c>
      <c r="J19">
        <f t="shared" si="1"/>
        <v>0</v>
      </c>
      <c r="K19">
        <f t="shared" si="1"/>
        <v>0</v>
      </c>
      <c r="L19">
        <f t="shared" si="1"/>
        <v>0</v>
      </c>
      <c r="M19">
        <f t="shared" si="1"/>
        <v>5.0924004346329932E-3</v>
      </c>
      <c r="N19">
        <f>N3-M3</f>
        <v>0</v>
      </c>
    </row>
    <row r="20" spans="1:14" x14ac:dyDescent="0.25">
      <c r="C20">
        <f t="shared" ref="C20:N20" si="2">C4-B4</f>
        <v>-3.3554765007493992E-2</v>
      </c>
      <c r="D20">
        <f t="shared" si="2"/>
        <v>3.0279630004770075E-2</v>
      </c>
      <c r="E20">
        <f t="shared" si="2"/>
        <v>1.6730275814017925E-2</v>
      </c>
      <c r="F20">
        <f t="shared" si="2"/>
        <v>1.527533689947469E-2</v>
      </c>
      <c r="G20">
        <f t="shared" si="2"/>
        <v>1.5183652719607033E-2</v>
      </c>
      <c r="H20">
        <f t="shared" si="2"/>
        <v>0</v>
      </c>
      <c r="I20">
        <f t="shared" si="2"/>
        <v>7.8745859573798871E-3</v>
      </c>
      <c r="J20">
        <f t="shared" si="2"/>
        <v>0</v>
      </c>
      <c r="K20">
        <f t="shared" si="2"/>
        <v>0</v>
      </c>
      <c r="L20">
        <f t="shared" si="2"/>
        <v>0</v>
      </c>
      <c r="M20">
        <f t="shared" si="2"/>
        <v>0</v>
      </c>
      <c r="N20">
        <f t="shared" si="2"/>
        <v>0</v>
      </c>
    </row>
    <row r="21" spans="1:14" x14ac:dyDescent="0.25">
      <c r="C21">
        <f t="shared" ref="C21:N21" si="3">C5-B5</f>
        <v>-4.9550800797239503E-2</v>
      </c>
      <c r="D21">
        <f t="shared" si="3"/>
        <v>2.2458565135406006E-2</v>
      </c>
      <c r="E21">
        <f t="shared" si="3"/>
        <v>3.2608813554153071E-2</v>
      </c>
      <c r="F21">
        <f t="shared" si="3"/>
        <v>1.7921239889117591E-2</v>
      </c>
      <c r="G21">
        <f t="shared" si="3"/>
        <v>7.8686175473352549E-3</v>
      </c>
      <c r="H21">
        <f t="shared" si="3"/>
        <v>6.8216500191427554E-3</v>
      </c>
      <c r="I21">
        <f t="shared" si="3"/>
        <v>8.4648351491475315E-3</v>
      </c>
      <c r="J21">
        <f t="shared" si="3"/>
        <v>1.890952097709897E-3</v>
      </c>
      <c r="K21">
        <f t="shared" si="3"/>
        <v>0</v>
      </c>
      <c r="L21">
        <f t="shared" si="3"/>
        <v>1.445555032883028E-2</v>
      </c>
      <c r="M21">
        <f t="shared" si="3"/>
        <v>4.3074913553993177E-3</v>
      </c>
      <c r="N21">
        <f t="shared" si="3"/>
        <v>0</v>
      </c>
    </row>
    <row r="22" spans="1:14" x14ac:dyDescent="0.25">
      <c r="C22">
        <f t="shared" ref="C22:N22" si="4">C6-B6</f>
        <v>-2.6873846406256063E-2</v>
      </c>
      <c r="D22">
        <f t="shared" si="4"/>
        <v>1.3666793646488359E-2</v>
      </c>
      <c r="E22">
        <f t="shared" si="4"/>
        <v>6.8056898388531989E-3</v>
      </c>
      <c r="F22">
        <f t="shared" si="4"/>
        <v>-5.2670958015180042E-3</v>
      </c>
      <c r="G22">
        <f t="shared" si="4"/>
        <v>-1.5977577681162661E-2</v>
      </c>
      <c r="H22">
        <f t="shared" si="4"/>
        <v>-3.138923244911937E-2</v>
      </c>
      <c r="I22">
        <f t="shared" si="4"/>
        <v>8.1647004877496571E-3</v>
      </c>
      <c r="J22">
        <f t="shared" si="4"/>
        <v>-5.8729925006909524E-2</v>
      </c>
      <c r="K22">
        <f t="shared" si="4"/>
        <v>7.5069511423654992E-4</v>
      </c>
      <c r="L22">
        <f t="shared" si="4"/>
        <v>0</v>
      </c>
      <c r="M22">
        <f t="shared" si="4"/>
        <v>0</v>
      </c>
      <c r="N22">
        <f t="shared" si="4"/>
        <v>0</v>
      </c>
    </row>
    <row r="23" spans="1:14" x14ac:dyDescent="0.25">
      <c r="C23">
        <f t="shared" ref="C23:N23" si="5">C7-B7</f>
        <v>-4.5269657681027198E-2</v>
      </c>
      <c r="D23">
        <f t="shared" si="5"/>
        <v>5.2303054511746883E-2</v>
      </c>
      <c r="E23">
        <f t="shared" si="5"/>
        <v>2.7100974115320031E-2</v>
      </c>
      <c r="F23">
        <f t="shared" si="5"/>
        <v>2.6785528913715106E-2</v>
      </c>
      <c r="G23">
        <f t="shared" si="5"/>
        <v>2.110834940853179E-3</v>
      </c>
      <c r="H23">
        <f t="shared" si="5"/>
        <v>0</v>
      </c>
      <c r="I23">
        <f t="shared" si="5"/>
        <v>5.1497448944825386E-2</v>
      </c>
      <c r="J23">
        <f t="shared" si="5"/>
        <v>0</v>
      </c>
      <c r="K23">
        <f t="shared" si="5"/>
        <v>0</v>
      </c>
      <c r="L23">
        <f t="shared" si="5"/>
        <v>0</v>
      </c>
      <c r="M23">
        <f t="shared" si="5"/>
        <v>0</v>
      </c>
      <c r="N23">
        <f t="shared" si="5"/>
        <v>-5.7518159227838761E-2</v>
      </c>
    </row>
    <row r="24" spans="1:14" x14ac:dyDescent="0.25">
      <c r="C24">
        <f t="shared" ref="C24:N24" si="6">C8-B8</f>
        <v>-2.3055219429050505E-2</v>
      </c>
      <c r="D24">
        <f t="shared" si="6"/>
        <v>1.3762643160582705E-2</v>
      </c>
      <c r="E24">
        <f t="shared" si="6"/>
        <v>2.0670005290719218E-2</v>
      </c>
      <c r="F24">
        <f t="shared" si="6"/>
        <v>5.8528275511298966E-3</v>
      </c>
      <c r="G24">
        <f t="shared" si="6"/>
        <v>0</v>
      </c>
      <c r="H24">
        <f t="shared" si="6"/>
        <v>0</v>
      </c>
      <c r="I24">
        <f t="shared" si="6"/>
        <v>0</v>
      </c>
      <c r="J24">
        <f t="shared" si="6"/>
        <v>0</v>
      </c>
      <c r="K24">
        <f t="shared" si="6"/>
        <v>0</v>
      </c>
      <c r="L24">
        <f t="shared" si="6"/>
        <v>0</v>
      </c>
      <c r="M24">
        <f t="shared" si="6"/>
        <v>0</v>
      </c>
      <c r="N24">
        <f t="shared" si="6"/>
        <v>0</v>
      </c>
    </row>
    <row r="25" spans="1:14" x14ac:dyDescent="0.25">
      <c r="C25">
        <f t="shared" ref="C25:N25" si="7">C9-B9</f>
        <v>-5.531380869965602E-3</v>
      </c>
      <c r="D25">
        <f t="shared" si="7"/>
        <v>6.2786388634016033E-3</v>
      </c>
      <c r="E25">
        <f t="shared" si="7"/>
        <v>2.0787836424377981E-3</v>
      </c>
      <c r="F25">
        <f t="shared" si="7"/>
        <v>1.8222980691317975E-3</v>
      </c>
      <c r="G25">
        <f t="shared" si="7"/>
        <v>0</v>
      </c>
      <c r="H25">
        <f t="shared" si="7"/>
        <v>-2.0448059088058967E-2</v>
      </c>
      <c r="I25">
        <f t="shared" si="7"/>
        <v>0</v>
      </c>
      <c r="J25">
        <f t="shared" si="7"/>
        <v>0</v>
      </c>
      <c r="K25">
        <f t="shared" si="7"/>
        <v>0</v>
      </c>
      <c r="L25">
        <f t="shared" si="7"/>
        <v>0</v>
      </c>
      <c r="M25">
        <f t="shared" si="7"/>
        <v>0</v>
      </c>
      <c r="N25">
        <f t="shared" si="7"/>
        <v>0</v>
      </c>
    </row>
    <row r="26" spans="1:14" x14ac:dyDescent="0.25">
      <c r="C26">
        <f t="shared" ref="C26:N26" si="8">C10-B10</f>
        <v>-2.4414540279282027E-2</v>
      </c>
      <c r="D26">
        <f t="shared" si="8"/>
        <v>1.674680773926783E-2</v>
      </c>
      <c r="E26">
        <f t="shared" si="8"/>
        <v>3.5725770826221095E-2</v>
      </c>
      <c r="F26">
        <f t="shared" si="8"/>
        <v>2.4064165430146917E-2</v>
      </c>
      <c r="G26">
        <f t="shared" si="8"/>
        <v>1.3309667105302486E-2</v>
      </c>
      <c r="H26">
        <f t="shared" si="8"/>
        <v>1.684817194698629E-2</v>
      </c>
      <c r="I26">
        <f t="shared" si="8"/>
        <v>0</v>
      </c>
      <c r="J26">
        <f t="shared" si="8"/>
        <v>0</v>
      </c>
      <c r="K26">
        <f t="shared" si="8"/>
        <v>0</v>
      </c>
      <c r="L26">
        <f t="shared" si="8"/>
        <v>0</v>
      </c>
      <c r="M26">
        <f t="shared" si="8"/>
        <v>0</v>
      </c>
      <c r="N26">
        <f t="shared" si="8"/>
        <v>0</v>
      </c>
    </row>
    <row r="27" spans="1:14" x14ac:dyDescent="0.25">
      <c r="C27">
        <f t="shared" ref="C27:N27" si="9">C11-B11</f>
        <v>-2.2975426408191793E-2</v>
      </c>
      <c r="D27">
        <f t="shared" si="9"/>
        <v>2.0402679236777688E-2</v>
      </c>
      <c r="E27">
        <f t="shared" si="9"/>
        <v>-1.3200271548814979E-3</v>
      </c>
      <c r="F27">
        <f t="shared" si="9"/>
        <v>1.1580925142369206E-2</v>
      </c>
      <c r="G27">
        <f t="shared" si="9"/>
        <v>9.1253867606000405E-5</v>
      </c>
      <c r="H27">
        <f t="shared" si="9"/>
        <v>-5.6643184893127335E-2</v>
      </c>
      <c r="I27">
        <f t="shared" si="9"/>
        <v>-7.4556090643188466E-2</v>
      </c>
      <c r="J27">
        <f t="shared" si="9"/>
        <v>0</v>
      </c>
      <c r="K27">
        <f t="shared" si="9"/>
        <v>0</v>
      </c>
      <c r="L27">
        <f t="shared" si="9"/>
        <v>0</v>
      </c>
      <c r="M27">
        <f t="shared" si="9"/>
        <v>0</v>
      </c>
      <c r="N27">
        <f t="shared" si="9"/>
        <v>0</v>
      </c>
    </row>
    <row r="28" spans="1:14" x14ac:dyDescent="0.25">
      <c r="C28">
        <f t="shared" ref="C28:N28" si="10">C12-B12</f>
        <v>1.1840960177139908E-4</v>
      </c>
      <c r="D28">
        <f t="shared" si="10"/>
        <v>-1.0916175869649827E-3</v>
      </c>
      <c r="E28">
        <f t="shared" si="10"/>
        <v>2.3324315361834304E-4</v>
      </c>
      <c r="F28">
        <f t="shared" si="10"/>
        <v>5.2977970877340821E-5</v>
      </c>
      <c r="G28">
        <f t="shared" si="10"/>
        <v>0</v>
      </c>
      <c r="H28">
        <f t="shared" si="10"/>
        <v>0</v>
      </c>
      <c r="I28">
        <f t="shared" si="10"/>
        <v>0</v>
      </c>
      <c r="J28">
        <f t="shared" si="10"/>
        <v>0</v>
      </c>
      <c r="K28">
        <f t="shared" si="10"/>
        <v>0</v>
      </c>
      <c r="L28">
        <f t="shared" si="10"/>
        <v>0</v>
      </c>
      <c r="M28">
        <f t="shared" si="10"/>
        <v>0</v>
      </c>
      <c r="N28">
        <f t="shared" si="10"/>
        <v>0</v>
      </c>
    </row>
    <row r="29" spans="1:14" x14ac:dyDescent="0.25">
      <c r="C29">
        <f t="shared" ref="C29:N29" si="11">C13-B13</f>
        <v>7.3397099233533459E-4</v>
      </c>
      <c r="D29">
        <f t="shared" si="11"/>
        <v>-3.9529484191328191E-3</v>
      </c>
      <c r="E29">
        <f t="shared" si="11"/>
        <v>-4.3111494519378491E-5</v>
      </c>
      <c r="F29">
        <f t="shared" si="11"/>
        <v>-1.3985020461652068E-4</v>
      </c>
      <c r="G29">
        <f t="shared" si="11"/>
        <v>-2.154774442988212E-5</v>
      </c>
      <c r="H29">
        <f t="shared" si="11"/>
        <v>-4.8785790985653388E-5</v>
      </c>
      <c r="I29">
        <f t="shared" si="11"/>
        <v>0</v>
      </c>
      <c r="J29">
        <f t="shared" si="11"/>
        <v>0</v>
      </c>
      <c r="K29">
        <f t="shared" si="11"/>
        <v>0</v>
      </c>
      <c r="L29">
        <f t="shared" si="11"/>
        <v>0</v>
      </c>
      <c r="M29">
        <f t="shared" si="11"/>
        <v>0</v>
      </c>
      <c r="N29">
        <f t="shared" si="11"/>
        <v>0</v>
      </c>
    </row>
    <row r="30" spans="1:14" x14ac:dyDescent="0.25">
      <c r="C30">
        <f>C14-B14</f>
        <v>-6.820551900488081E-2</v>
      </c>
      <c r="D30">
        <f t="shared" ref="C30:N30" si="12">D14-C14</f>
        <v>4.2679848373825102E-2</v>
      </c>
      <c r="E30">
        <f t="shared" si="12"/>
        <v>7.3865759447715562E-2</v>
      </c>
      <c r="F30">
        <f t="shared" si="12"/>
        <v>1.3192724560192715E-2</v>
      </c>
      <c r="G30">
        <f t="shared" si="12"/>
        <v>2.5027071843412019E-3</v>
      </c>
      <c r="H30">
        <f t="shared" si="12"/>
        <v>0</v>
      </c>
      <c r="I30">
        <f t="shared" si="12"/>
        <v>0</v>
      </c>
      <c r="J30">
        <f t="shared" si="12"/>
        <v>0</v>
      </c>
      <c r="K30">
        <f t="shared" si="12"/>
        <v>1.9150760399180733E-2</v>
      </c>
      <c r="L30">
        <f t="shared" si="12"/>
        <v>2.6158875330934084E-2</v>
      </c>
      <c r="M30">
        <f t="shared" si="12"/>
        <v>0</v>
      </c>
      <c r="N30">
        <f t="shared" si="12"/>
        <v>0</v>
      </c>
    </row>
    <row r="31" spans="1:14" x14ac:dyDescent="0.25">
      <c r="C31">
        <f t="shared" ref="C31:N31" si="13">C15-B15</f>
        <v>-3.8274275093407896E-4</v>
      </c>
      <c r="D31">
        <f t="shared" si="13"/>
        <v>5.9788996615089225E-4</v>
      </c>
      <c r="E31">
        <f t="shared" si="13"/>
        <v>3.2605715752032603E-4</v>
      </c>
      <c r="F31">
        <f t="shared" si="13"/>
        <v>1.7111982971719421E-4</v>
      </c>
      <c r="G31">
        <f t="shared" si="13"/>
        <v>1.0477051411164444E-5</v>
      </c>
      <c r="H31">
        <f t="shared" si="13"/>
        <v>0</v>
      </c>
      <c r="I31">
        <f t="shared" si="13"/>
        <v>0</v>
      </c>
      <c r="J31">
        <f t="shared" si="13"/>
        <v>0</v>
      </c>
      <c r="K31">
        <f t="shared" si="13"/>
        <v>1.9563143002379515E-4</v>
      </c>
      <c r="L31">
        <f t="shared" si="13"/>
        <v>8.9104497583312667E-6</v>
      </c>
      <c r="M31">
        <f t="shared" si="13"/>
        <v>0</v>
      </c>
      <c r="N31">
        <f t="shared" si="13"/>
        <v>0</v>
      </c>
    </row>
    <row r="32" spans="1:14" x14ac:dyDescent="0.25">
      <c r="C32">
        <f t="shared" ref="C32:N32" si="14">C16-B16</f>
        <v>-5.2984926778263275E-2</v>
      </c>
      <c r="D32">
        <f t="shared" si="14"/>
        <v>2.5480136665448239E-2</v>
      </c>
      <c r="E32">
        <f t="shared" si="14"/>
        <v>3.3946653239564695E-2</v>
      </c>
      <c r="F32">
        <f t="shared" si="14"/>
        <v>1.1101819610661812E-2</v>
      </c>
      <c r="G32">
        <f t="shared" si="14"/>
        <v>0</v>
      </c>
      <c r="H32">
        <f t="shared" si="14"/>
        <v>0</v>
      </c>
      <c r="I32">
        <f t="shared" si="14"/>
        <v>0</v>
      </c>
      <c r="J32">
        <f t="shared" si="14"/>
        <v>0</v>
      </c>
      <c r="K32">
        <f t="shared" si="14"/>
        <v>0</v>
      </c>
      <c r="L32">
        <f t="shared" si="14"/>
        <v>0</v>
      </c>
      <c r="M32">
        <f t="shared" si="14"/>
        <v>0</v>
      </c>
      <c r="N32">
        <f t="shared" si="14"/>
        <v>-4.3246795372818836E-3</v>
      </c>
    </row>
  </sheetData>
  <conditionalFormatting sqref="C19:N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Anderson,Brian M</cp:lastModifiedBy>
  <dcterms:created xsi:type="dcterms:W3CDTF">2020-03-03T09:58:47Z</dcterms:created>
  <dcterms:modified xsi:type="dcterms:W3CDTF">2020-03-03T19:18:30Z</dcterms:modified>
</cp:coreProperties>
</file>